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Money Log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Annual" sheetId="6" state="visible" r:id="rId6"/>
    <sheet xmlns:r="http://schemas.openxmlformats.org/officeDocument/2006/relationships" name="Savings &amp; Debt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Habits" sheetId="9" state="visible" r:id="rId9"/>
    <sheet xmlns:r="http://schemas.openxmlformats.org/officeDocument/2006/relationships" name="Cleaning" sheetId="10" state="visible" r:id="rId10"/>
    <sheet xmlns:r="http://schemas.openxmlformats.org/officeDocument/2006/relationships" name="Goals" sheetId="11" state="visible" r:id="rId11"/>
    <sheet xmlns:r="http://schemas.openxmlformats.org/officeDocument/2006/relationships" name="Week Plan" sheetId="12" state="visible" r:id="rId12"/>
    <sheet xmlns:r="http://schemas.openxmlformats.org/officeDocument/2006/relationships" name="Meals" sheetId="13" state="visible" r:id="rId13"/>
    <sheet xmlns:r="http://schemas.openxmlformats.org/officeDocument/2006/relationships" name="Calendar" sheetId="14" state="visible" r:id="rId14"/>
  </sheets>
  <definedNames>
    <definedName name="IncomeCats">'Setup'!$B$12:$B$21</definedName>
    <definedName name="ExpenseCats">'Setup'!$E$12:$E$31</definedName>
    <definedName name="PlanMonth">'Setup'!$C$8</definedName>
    <definedName name="Cur">'Setup'!$C$7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mmmm yyyy"/>
    <numFmt numFmtId="166" formatCode="mmm yy"/>
    <numFmt numFmtId="167" formatCode="mmm"/>
    <numFmt numFmtId="168" formatCode="#,##0.00;-#,##0.00;&quot;–&quot;"/>
    <numFmt numFmtId="169" formatCode="dddd d mmm yyyy"/>
    <numFmt numFmtId="170" formatCode="d mmm"/>
    <numFmt numFmtId="171" formatCode="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E9DCC9"/>
      <sz val="10"/>
    </font>
    <font>
      <name val="Arial"/>
      <b val="1"/>
      <color rgb="001F4E5A"/>
      <sz val="11"/>
    </font>
    <font>
      <name val="Arial"/>
      <color rgb="001E2B2F"/>
      <sz val="10"/>
    </font>
    <font>
      <name val="Arial"/>
      <b val="1"/>
      <color rgb="00E07A5F"/>
      <sz val="9"/>
    </font>
    <font>
      <name val="Arial"/>
      <i val="1"/>
      <color rgb="007A7A7A"/>
      <sz val="9"/>
    </font>
    <font>
      <name val="Arial"/>
      <b val="1"/>
      <color rgb="001E2B2F"/>
      <sz val="10"/>
    </font>
    <font>
      <name val="Arial"/>
      <b val="1"/>
      <color rgb="00FFFFFF"/>
      <sz val="10"/>
    </font>
    <font>
      <name val="Arial"/>
      <i val="1"/>
      <color rgb="007A7A7A"/>
      <sz val="10"/>
    </font>
    <font>
      <name val="Arial"/>
      <color rgb="00FFFFFF"/>
      <sz val="8"/>
    </font>
    <font>
      <name val="Arial"/>
      <b val="1"/>
      <color rgb="00FFFFFF"/>
      <sz val="8"/>
    </font>
    <font>
      <name val="Arial"/>
      <color rgb="001F4E5A"/>
      <sz val="9"/>
    </font>
    <font>
      <name val="Arial"/>
      <b val="1"/>
      <color rgb="001F4E5A"/>
      <sz val="9"/>
    </font>
    <font>
      <name val="Arial"/>
      <b val="1"/>
      <color rgb="001F4E5A"/>
      <sz val="10"/>
    </font>
    <font>
      <name val="Arial"/>
      <b val="1"/>
      <color rgb="00FFFFFF"/>
      <sz val="12"/>
    </font>
    <font>
      <name val="Arial"/>
      <b val="1"/>
      <color rgb="001F4E5A"/>
      <sz val="14"/>
    </font>
    <font>
      <name val="Arial"/>
      <color rgb="00E07A5F"/>
      <sz val="9"/>
    </font>
    <font>
      <name val="Arial"/>
      <b val="1"/>
      <color rgb="001F4E5A"/>
      <sz val="12"/>
    </font>
    <font>
      <name val="Arial"/>
      <b val="1"/>
      <color rgb="00FFFFFF"/>
      <sz val="9"/>
    </font>
    <font>
      <name val="Arial"/>
      <b val="1"/>
      <color rgb="001F4E5A"/>
      <sz val="18"/>
    </font>
    <font>
      <name val="Arial"/>
      <b val="1"/>
      <color rgb="00E07A5F"/>
      <sz val="18"/>
    </font>
    <font>
      <name val="Arial"/>
      <b val="1"/>
      <color rgb="001E2B2F"/>
      <sz val="18"/>
    </font>
  </fonts>
  <fills count="8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BF7F1"/>
      </patternFill>
    </fill>
    <fill>
      <patternFill patternType="solid">
        <fgColor rgb="00FFFFFF"/>
      </patternFill>
    </fill>
    <fill>
      <patternFill patternType="solid">
        <fgColor rgb="00E9DCC9"/>
      </patternFill>
    </fill>
    <fill>
      <patternFill patternType="solid">
        <fgColor rgb="00E07A5F"/>
      </patternFill>
    </fill>
    <fill>
      <patternFill patternType="solid">
        <fgColor rgb="001E2B2F"/>
      </patternFill>
    </fill>
  </fills>
  <borders count="6">
    <border>
      <left/>
      <right/>
      <top/>
      <bottom/>
      <diagonal/>
    </border>
    <border>
      <left style="thin">
        <color rgb="00D9D4CC"/>
      </left>
      <right style="thin">
        <color rgb="00D9D4CC"/>
      </right>
      <top style="thin">
        <color rgb="00D9D4CC"/>
      </top>
      <bottom style="thin">
        <color rgb="00D9D4CC"/>
      </bottom>
    </border>
    <border>
      <left/>
      <right/>
      <top style="thin">
        <color rgb="00D9D4CC"/>
      </top>
      <bottom/>
      <diagonal/>
    </border>
    <border>
      <left/>
      <right style="thin">
        <color rgb="00D9D4CC"/>
      </right>
      <top style="thin">
        <color rgb="00D9D4CC"/>
      </top>
      <bottom/>
      <diagonal/>
    </border>
    <border>
      <left/>
      <right style="thin">
        <color rgb="00D9D4CC"/>
      </right>
      <top style="thin">
        <color rgb="00D9D4CC"/>
      </top>
      <bottom style="thin">
        <color rgb="00D9D4CC"/>
      </bottom>
      <diagonal/>
    </border>
    <border>
      <left/>
      <right/>
      <top style="thin">
        <color rgb="00D9D4CC"/>
      </top>
      <bottom style="thin">
        <color rgb="00D9D4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165" fontId="18" fillId="0" borderId="0" pivotButton="0" quotePrefix="0" xfId="0"/>
    <xf numFmtId="0" fontId="19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9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4" fontId="20" fillId="4" borderId="1" applyAlignment="1" pivotButton="0" quotePrefix="0" xfId="0">
      <alignment horizontal="center" vertical="center" wrapText="1"/>
    </xf>
    <xf numFmtId="4" fontId="21" fillId="4" borderId="1" applyAlignment="1" pivotButton="0" quotePrefix="0" xfId="0">
      <alignment horizontal="center" vertical="center" wrapText="1"/>
    </xf>
    <xf numFmtId="4" fontId="22" fillId="4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5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3" borderId="1" pivotButton="0" quotePrefix="0" xfId="0"/>
    <xf numFmtId="170" fontId="4" fillId="3" borderId="1" pivotButton="0" quotePrefix="0" xfId="0"/>
    <xf numFmtId="9" fontId="4" fillId="3" borderId="1" pivotButton="0" quotePrefix="0" xfId="0"/>
    <xf numFmtId="0" fontId="8" fillId="6" borderId="1" applyAlignment="1" pivotButton="0" quotePrefix="0" xfId="0">
      <alignment horizontal="center" vertical="center" wrapText="1"/>
    </xf>
    <xf numFmtId="4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9" fillId="0" borderId="0" pivotButton="0" quotePrefix="0" xfId="0"/>
    <xf numFmtId="164" fontId="4" fillId="4" borderId="1" pivotButton="0" quotePrefix="0" xfId="0"/>
    <xf numFmtId="4" fontId="4" fillId="4" borderId="1" pivotButton="0" quotePrefix="0" xfId="0"/>
    <xf numFmtId="166" fontId="4" fillId="3" borderId="1" pivotButton="0" quotePrefix="0" xfId="0"/>
    <xf numFmtId="165" fontId="7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4" fontId="7" fillId="5" borderId="1" applyAlignment="1" pivotButton="0" quotePrefix="0" xfId="0">
      <alignment horizontal="right" vertical="center" wrapText="1"/>
    </xf>
    <xf numFmtId="1" fontId="7" fillId="5" borderId="1" applyAlignment="1" pivotButton="0" quotePrefix="0" xfId="0">
      <alignment horizontal="right" vertical="center" wrapText="1"/>
    </xf>
    <xf numFmtId="167" fontId="10" fillId="0" borderId="0" pivotButton="0" quotePrefix="0" xfId="0"/>
    <xf numFmtId="0" fontId="8" fillId="2" borderId="1" pivotButton="0" quotePrefix="0" xfId="0"/>
    <xf numFmtId="168" fontId="4" fillId="3" borderId="1" pivotButton="0" quotePrefix="0" xfId="0"/>
    <xf numFmtId="0" fontId="7" fillId="5" borderId="1" pivotButton="0" quotePrefix="0" xfId="0"/>
    <xf numFmtId="168" fontId="7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4" fontId="7" fillId="5" borderId="1" pivotButton="0" quotePrefix="0" xfId="0"/>
    <xf numFmtId="0" fontId="11" fillId="7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4" fontId="4" fillId="3" borderId="1" pivotButton="0" quotePrefix="0" xfId="0"/>
    <xf numFmtId="0" fontId="9" fillId="3" borderId="1" pivotButton="0" quotePrefix="0" xfId="0"/>
    <xf numFmtId="169" fontId="7" fillId="4" borderId="1" applyAlignment="1" pivotButton="0" quotePrefix="0" xfId="0">
      <alignment horizontal="center" vertical="center" wrapText="1"/>
    </xf>
    <xf numFmtId="170" fontId="12" fillId="3" borderId="1" applyAlignment="1" pivotButton="0" quotePrefix="0" xfId="0">
      <alignment horizontal="center"/>
    </xf>
    <xf numFmtId="0" fontId="1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4" fillId="3" borderId="1" applyAlignment="1" pivotButton="0" quotePrefix="0" xfId="0">
      <alignment horizontal="center" vertical="center" wrapText="1"/>
    </xf>
    <xf numFmtId="0" fontId="15" fillId="6" borderId="1" pivotButton="0" quotePrefix="0" xfId="0"/>
    <xf numFmtId="0" fontId="8" fillId="2" borderId="1" applyAlignment="1" pivotButton="0" quotePrefix="0" xfId="0">
      <alignment horizontal="center"/>
    </xf>
    <xf numFmtId="0" fontId="4" fillId="0" borderId="1" pivotButton="0" quotePrefix="0" xfId="0"/>
    <xf numFmtId="165" fontId="16" fillId="0" borderId="0" pivotButton="0" quotePrefix="0" xfId="0"/>
    <xf numFmtId="171" fontId="3" fillId="3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Arial"/>
        <b val="1"/>
        <color rgb="00C0392B"/>
        <sz val="10"/>
      </font>
    </dxf>
    <dxf>
      <font>
        <name val="Arial"/>
        <strike val="1"/>
        <color rgb="009A9A9A"/>
        <sz val="10"/>
      </font>
    </dxf>
    <dxf>
      <fill>
        <patternFill patternType="solid">
          <fgColor rgb="00F6D5CC"/>
        </patternFill>
      </fill>
    </dxf>
    <dxf>
      <font>
        <name val="Arial"/>
        <b val="1"/>
        <color rgb="001F4E5A"/>
        <sz val="10"/>
      </font>
      <fill>
        <patternFill patternType="solid">
          <fgColor rgb="00A8C3A0"/>
        </patternFill>
      </fill>
    </dxf>
    <dxf>
      <font>
        <name val="Arial"/>
        <b val="1"/>
        <color rgb="00C0392B"/>
        <sz val="10"/>
      </font>
      <fill>
        <patternFill patternType="solid">
          <fgColor rgb="00F6D5CC"/>
        </patternFill>
      </fill>
    </dxf>
    <dxf>
      <fill>
        <patternFill patternType="solid">
          <fgColor rgb="00FCEBC4"/>
        </patternFill>
      </fill>
    </dxf>
    <dxf>
      <fill>
        <patternFill patternType="solid">
          <fgColor rgb="00E9DC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D22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  <col width="3" customWidth="1" min="4" max="4"/>
  </cols>
  <sheetData>
    <row r="1">
      <c r="A1" s="1" t="n"/>
      <c r="B1" s="1" t="n"/>
      <c r="C1" s="1" t="n"/>
      <c r="D1" s="1" t="n"/>
    </row>
    <row r="2" ht="30" customHeight="1">
      <c r="A2" s="1" t="n"/>
      <c r="B2" s="2" t="inlineStr">
        <is>
          <t>Life Planner</t>
        </is>
      </c>
      <c r="C2" s="1" t="n"/>
      <c r="D2" s="1" t="n"/>
    </row>
    <row r="3">
      <c r="A3" s="1" t="n"/>
      <c r="B3" s="3" t="inlineStr">
        <is>
          <t>Budget • Tasks • Habits • Goals • Meals • Cleaning — Google Sheets &amp; Excel</t>
        </is>
      </c>
      <c r="C3" s="1" t="n"/>
      <c r="D3" s="1" t="n"/>
    </row>
    <row r="4" ht="8" customHeight="1"/>
    <row r="6" ht="34" customHeight="1">
      <c r="B6" s="4" t="inlineStr">
        <is>
          <t>1. Setup</t>
        </is>
      </c>
      <c r="C6" s="5" t="inlineStr">
        <is>
          <t>Type your name, currency symbol, the month you are planning and your own budget categories. Two minutes, once.</t>
        </is>
      </c>
    </row>
    <row r="7" ht="34" customHeight="1">
      <c r="B7" s="4" t="inlineStr">
        <is>
          <t>2. Money Log</t>
        </is>
      </c>
      <c r="C7" s="5" t="inlineStr">
        <is>
          <t>The only place you type money. One row per income or expense. Budget, Annual, Savings and Dashboard update themselves.</t>
        </is>
      </c>
    </row>
    <row r="8" ht="34" customHeight="1">
      <c r="B8" s="4" t="inlineStr">
        <is>
          <t>3. Budget</t>
        </is>
      </c>
      <c r="C8" s="5" t="inlineStr">
        <is>
          <t>Type your planned amount per category. Actual, difference and "safe to spend per day" are calculated for the month chosen in Setup.</t>
        </is>
      </c>
    </row>
    <row r="9" ht="34" customHeight="1">
      <c r="B9" s="4" t="inlineStr">
        <is>
          <t>4. Annual</t>
        </is>
      </c>
      <c r="C9" s="5" t="inlineStr">
        <is>
          <t>All 12 months side by side, built from the Money Log. Nothing to type.</t>
        </is>
      </c>
    </row>
    <row r="10" ht="34" customHeight="1">
      <c r="B10" s="4" t="inlineStr">
        <is>
          <t>5. Savings &amp; Debt</t>
        </is>
      </c>
      <c r="C10" s="5" t="inlineStr">
        <is>
          <t>Up to 12 savings goals and 12 debts with live progress bars.</t>
        </is>
      </c>
    </row>
    <row r="11" ht="34" customHeight="1">
      <c r="B11" s="4" t="inlineStr">
        <is>
          <t>6. Tasks</t>
        </is>
      </c>
      <c r="C11" s="5" t="inlineStr">
        <is>
          <t>100 tasks with category, due date, priority and status. Open tasks appear on the Dashboard, soonest first.</t>
        </is>
      </c>
    </row>
    <row r="12" ht="34" customHeight="1">
      <c r="B12" s="4" t="inlineStr">
        <is>
          <t>7. Habits</t>
        </is>
      </c>
      <c r="C12" s="5" t="inlineStr">
        <is>
          <t>20 habits x 31 days. Type x on the days you did it; streak, total and month score are automatic.</t>
        </is>
      </c>
    </row>
    <row r="13" ht="34" customHeight="1">
      <c r="B13" s="4" t="inlineStr">
        <is>
          <t>8. Cleaning</t>
        </is>
      </c>
      <c r="C13" s="5" t="inlineStr">
        <is>
          <t>Daily to yearly chores. Type the date you last did it; the next due date and status are calculated.</t>
        </is>
      </c>
    </row>
    <row r="14" ht="34" customHeight="1">
      <c r="B14" s="4" t="inlineStr">
        <is>
          <t>9. Goals</t>
        </is>
      </c>
      <c r="C14" s="5" t="inlineStr">
        <is>
          <t>10 goals with why, reward, five dated steps and a progress bar.</t>
        </is>
      </c>
    </row>
    <row r="15" ht="34" customHeight="1">
      <c r="B15" s="4" t="inlineStr">
        <is>
          <t>10. Week Plan</t>
        </is>
      </c>
      <c r="C15" s="5" t="inlineStr">
        <is>
          <t>Plan your week by the hour, from 6:00 to 22:00.</t>
        </is>
      </c>
    </row>
    <row r="16" ht="34" customHeight="1">
      <c r="B16" s="4" t="inlineStr">
        <is>
          <t>11. Meals</t>
        </is>
      </c>
      <c r="C16" s="5" t="inlineStr">
        <is>
          <t>Plan breakfast, lunch, dinner and snacks for the week, with a grocery list by aisle.</t>
        </is>
      </c>
    </row>
    <row r="17" ht="34" customHeight="1">
      <c r="B17" s="4" t="inlineStr">
        <is>
          <t>12. Calendar</t>
        </is>
      </c>
      <c r="C17" s="5" t="inlineStr">
        <is>
          <t>Choose a month: every day shows how many open tasks are due.</t>
        </is>
      </c>
    </row>
    <row r="18" ht="34" customHeight="1">
      <c r="B18" s="4" t="inlineStr">
        <is>
          <t>White cells</t>
        </is>
      </c>
      <c r="C18" s="5" t="inlineStr">
        <is>
          <t>are for typing. Colored cells hold formulas: leave them, and the planner never breaks.</t>
        </is>
      </c>
    </row>
    <row r="19" ht="34" customHeight="1">
      <c r="B19" s="4" t="inlineStr">
        <is>
          <t>Google Sheets</t>
        </is>
      </c>
      <c r="C19" s="5" t="inlineStr">
        <is>
          <t>File &gt; Import &gt; Upload this .xlsx, or open it from Drive and choose File &gt; Save as Google Sheets.</t>
        </is>
      </c>
    </row>
    <row r="22">
      <c r="B22" s="6" t="inlineStr">
        <is>
          <t>Oakfold</t>
        </is>
      </c>
      <c r="C22" s="7" t="inlineStr">
        <is>
          <t>Personal use. Not financial advice.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J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3" customWidth="1" min="4" max="4"/>
    <col width="30" customWidth="1" min="5" max="5"/>
    <col width="12" customWidth="1" min="6" max="6"/>
    <col width="3" customWidth="1" min="7" max="7"/>
    <col width="22" customWidth="1" min="8" max="8"/>
    <col width="12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2" t="inlineStr">
        <is>
          <t>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>
        <f>IF('Setup'!C6="","Your month at a glance","Hi "&amp;'Setup'!C6&amp;" — your month at a glance")</f>
        <v/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8" customHeight="1"/>
    <row r="5">
      <c r="B5" s="8">
        <f>PlanMonth</f>
        <v/>
      </c>
    </row>
    <row r="6">
      <c r="B6" s="9" t="inlineStr">
        <is>
          <t>Income</t>
        </is>
      </c>
      <c r="C6" s="10" t="n"/>
      <c r="E6" s="11" t="inlineStr">
        <is>
          <t>Expenses</t>
        </is>
      </c>
      <c r="F6" s="10" t="n"/>
      <c r="H6" s="12" t="inlineStr">
        <is>
          <t>Balance</t>
        </is>
      </c>
      <c r="I6" s="10" t="n"/>
    </row>
    <row r="7" ht="34" customHeight="1">
      <c r="B7" s="13">
        <f>Cur&amp;TEXT('Budget'!D42,"#,##0.00")</f>
        <v/>
      </c>
      <c r="C7" s="10" t="n"/>
      <c r="E7" s="14">
        <f>Cur&amp;TEXT('Budget'!D43,"#,##0.00")</f>
        <v/>
      </c>
      <c r="F7" s="10" t="n"/>
      <c r="H7" s="15">
        <f>IF('Budget'!D44&lt;0,"-",)&amp;Cur&amp;TEXT(ABS('Budget'!D44),"#,##0.00")</f>
        <v/>
      </c>
      <c r="I7" s="10" t="n"/>
    </row>
    <row r="9" ht="28" customHeight="1">
      <c r="B9" s="16" t="inlineStr">
        <is>
          <t>Safe to spend / day</t>
        </is>
      </c>
      <c r="C9" s="17">
        <f>IF('Budget'!D47="","",Cur&amp;TEXT('Budget'!D47,"#,##0.00"))</f>
        <v/>
      </c>
      <c r="E9" s="18" t="inlineStr">
        <is>
          <t>Next tasks</t>
        </is>
      </c>
      <c r="F9" s="18" t="inlineStr">
        <is>
          <t>Due</t>
        </is>
      </c>
      <c r="H9" s="19" t="inlineStr">
        <is>
          <t>Habits this month</t>
        </is>
      </c>
      <c r="I9" s="19" t="inlineStr">
        <is>
          <t>Score</t>
        </is>
      </c>
    </row>
    <row r="10">
      <c r="B10" s="16" t="inlineStr">
        <is>
          <t>Total saved</t>
        </is>
      </c>
      <c r="C10" s="17">
        <f>Cur&amp;TEXT('Savings &amp; Debt'!C36,"#,##0.00")</f>
        <v/>
      </c>
      <c r="E10" s="20">
        <f>IFERROR(INDEX('Tasks'!$B$7:$B$106,MATCH(SMALL('Tasks'!$I$7:$I$106,1),'Tasks'!$I$7:$I$106,0)),"")</f>
        <v/>
      </c>
      <c r="F10" s="21">
        <f>IFERROR(INT(SMALL('Tasks'!$I$7:$I$106,1)),"")</f>
        <v/>
      </c>
      <c r="H10" s="20">
        <f>IF('Habits'!B7="","",'Habits'!B7)</f>
        <v/>
      </c>
      <c r="I10" s="22">
        <f>IF('Habits'!B7="","",'Habits'!AI7)</f>
        <v/>
      </c>
    </row>
    <row r="11">
      <c r="B11" s="16" t="inlineStr">
        <is>
          <t>Debt remaining</t>
        </is>
      </c>
      <c r="C11" s="17">
        <f>Cur&amp;TEXT('Savings &amp; Debt'!C37,"#,##0.00")</f>
        <v/>
      </c>
      <c r="E11" s="20">
        <f>IFERROR(INDEX('Tasks'!$B$7:$B$106,MATCH(SMALL('Tasks'!$I$7:$I$106,2),'Tasks'!$I$7:$I$106,0)),"")</f>
        <v/>
      </c>
      <c r="F11" s="21">
        <f>IFERROR(INT(SMALL('Tasks'!$I$7:$I$106,2)),"")</f>
        <v/>
      </c>
      <c r="H11" s="20">
        <f>IF('Habits'!B8="","",'Habits'!B8)</f>
        <v/>
      </c>
      <c r="I11" s="22">
        <f>IF('Habits'!B8="","",'Habits'!AI8)</f>
        <v/>
      </c>
    </row>
    <row r="12">
      <c r="E12" s="20">
        <f>IFERROR(INDEX('Tasks'!$B$7:$B$106,MATCH(SMALL('Tasks'!$I$7:$I$106,3),'Tasks'!$I$7:$I$106,0)),"")</f>
        <v/>
      </c>
      <c r="F12" s="21">
        <f>IFERROR(INT(SMALL('Tasks'!$I$7:$I$106,3)),"")</f>
        <v/>
      </c>
      <c r="H12" s="20">
        <f>IF('Habits'!B9="","",'Habits'!B9)</f>
        <v/>
      </c>
      <c r="I12" s="22">
        <f>IF('Habits'!B9="","",'Habits'!AI9)</f>
        <v/>
      </c>
    </row>
    <row r="13" ht="20" customHeight="1">
      <c r="B13" s="23" t="inlineStr">
        <is>
          <t>Top spending</t>
        </is>
      </c>
      <c r="C13" s="23" t="inlineStr">
        <is>
          <t>Actual</t>
        </is>
      </c>
      <c r="E13" s="20">
        <f>IFERROR(INDEX('Tasks'!$B$7:$B$106,MATCH(SMALL('Tasks'!$I$7:$I$106,4),'Tasks'!$I$7:$I$106,0)),"")</f>
        <v/>
      </c>
      <c r="F13" s="21">
        <f>IFERROR(INT(SMALL('Tasks'!$I$7:$I$106,4)),"")</f>
        <v/>
      </c>
      <c r="H13" s="20">
        <f>IF('Habits'!B10="","",'Habits'!B10)</f>
        <v/>
      </c>
      <c r="I13" s="22">
        <f>IF('Habits'!B10="","",'Habits'!AI10)</f>
        <v/>
      </c>
    </row>
    <row r="14">
      <c r="B14" s="24">
        <f>IFERROR(INDEX('Budget'!$B$21:$B$40,MATCH(LARGE('Budget'!$H$21:$H$40,1),'Budget'!$H$21:$H$40,0)),"")</f>
        <v/>
      </c>
      <c r="C14" s="24">
        <f>IFERROR(INDEX('Budget'!$D$21:$D$40,MATCH(LARGE('Budget'!$H$21:$H$40,1),'Budget'!$H$21:$H$40,0)),"")</f>
        <v/>
      </c>
      <c r="E14" s="20">
        <f>IFERROR(INDEX('Tasks'!$B$7:$B$106,MATCH(SMALL('Tasks'!$I$7:$I$106,5),'Tasks'!$I$7:$I$106,0)),"")</f>
        <v/>
      </c>
      <c r="F14" s="21">
        <f>IFERROR(INT(SMALL('Tasks'!$I$7:$I$106,5)),"")</f>
        <v/>
      </c>
      <c r="H14" s="20">
        <f>IF('Habits'!B11="","",'Habits'!B11)</f>
        <v/>
      </c>
      <c r="I14" s="22">
        <f>IF('Habits'!B11="","",'Habits'!AI11)</f>
        <v/>
      </c>
    </row>
    <row r="15">
      <c r="B15" s="24">
        <f>IFERROR(INDEX('Budget'!$B$21:$B$40,MATCH(LARGE('Budget'!$H$21:$H$40,2),'Budget'!$H$21:$H$40,0)),"")</f>
        <v/>
      </c>
      <c r="C15" s="24">
        <f>IFERROR(INDEX('Budget'!$D$21:$D$40,MATCH(LARGE('Budget'!$H$21:$H$40,2),'Budget'!$H$21:$H$40,0)),"")</f>
        <v/>
      </c>
      <c r="E15" s="20">
        <f>IFERROR(INDEX('Tasks'!$B$7:$B$106,MATCH(SMALL('Tasks'!$I$7:$I$106,6),'Tasks'!$I$7:$I$106,0)),"")</f>
        <v/>
      </c>
      <c r="F15" s="21">
        <f>IFERROR(INT(SMALL('Tasks'!$I$7:$I$106,6)),"")</f>
        <v/>
      </c>
      <c r="H15" s="20">
        <f>IF('Habits'!B12="","",'Habits'!B12)</f>
        <v/>
      </c>
      <c r="I15" s="22">
        <f>IF('Habits'!B12="","",'Habits'!AI12)</f>
        <v/>
      </c>
    </row>
    <row r="16">
      <c r="B16" s="24">
        <f>IFERROR(INDEX('Budget'!$B$21:$B$40,MATCH(LARGE('Budget'!$H$21:$H$40,3),'Budget'!$H$21:$H$40,0)),"")</f>
        <v/>
      </c>
      <c r="C16" s="24">
        <f>IFERROR(INDEX('Budget'!$D$21:$D$40,MATCH(LARGE('Budget'!$H$21:$H$40,3),'Budget'!$H$21:$H$40,0)),"")</f>
        <v/>
      </c>
      <c r="E16" s="20">
        <f>IFERROR(INDEX('Tasks'!$B$7:$B$106,MATCH(SMALL('Tasks'!$I$7:$I$106,7),'Tasks'!$I$7:$I$106,0)),"")</f>
        <v/>
      </c>
      <c r="F16" s="21">
        <f>IFERROR(INT(SMALL('Tasks'!$I$7:$I$106,7)),"")</f>
        <v/>
      </c>
      <c r="H16" s="20">
        <f>IF('Habits'!B13="","",'Habits'!B13)</f>
        <v/>
      </c>
      <c r="I16" s="22">
        <f>IF('Habits'!B13="","",'Habits'!AI13)</f>
        <v/>
      </c>
    </row>
    <row r="17">
      <c r="B17" s="24">
        <f>IFERROR(INDEX('Budget'!$B$21:$B$40,MATCH(LARGE('Budget'!$H$21:$H$40,4),'Budget'!$H$21:$H$40,0)),"")</f>
        <v/>
      </c>
      <c r="C17" s="24">
        <f>IFERROR(INDEX('Budget'!$D$21:$D$40,MATCH(LARGE('Budget'!$H$21:$H$40,4),'Budget'!$H$21:$H$40,0)),"")</f>
        <v/>
      </c>
      <c r="E17" s="20">
        <f>IFERROR(INDEX('Tasks'!$B$7:$B$106,MATCH(SMALL('Tasks'!$I$7:$I$106,8),'Tasks'!$I$7:$I$106,0)),"")</f>
        <v/>
      </c>
      <c r="F17" s="21">
        <f>IFERROR(INT(SMALL('Tasks'!$I$7:$I$106,8)),"")</f>
        <v/>
      </c>
      <c r="H17" s="20">
        <f>IF('Habits'!B14="","",'Habits'!B14)</f>
        <v/>
      </c>
      <c r="I17" s="22">
        <f>IF('Habits'!B14="","",'Habits'!AI14)</f>
        <v/>
      </c>
    </row>
    <row r="18">
      <c r="B18" s="24">
        <f>IFERROR(INDEX('Budget'!$B$21:$B$40,MATCH(LARGE('Budget'!$H$21:$H$40,5),'Budget'!$H$21:$H$40,0)),"")</f>
        <v/>
      </c>
      <c r="C18" s="24">
        <f>IFERROR(INDEX('Budget'!$D$21:$D$40,MATCH(LARGE('Budget'!$H$21:$H$40,5),'Budget'!$H$21:$H$40,0)),"")</f>
        <v/>
      </c>
    </row>
    <row r="20" ht="28" customHeight="1">
      <c r="B20" s="19" t="inlineStr">
        <is>
          <t>Meals today</t>
        </is>
      </c>
      <c r="C20" s="19" t="inlineStr"/>
      <c r="E20" s="23" t="inlineStr">
        <is>
          <t>Cleaning due</t>
        </is>
      </c>
      <c r="F20" s="23" t="inlineStr">
        <is>
          <t>Status</t>
        </is>
      </c>
      <c r="H20" s="18" t="inlineStr">
        <is>
          <t>Savings goals</t>
        </is>
      </c>
      <c r="I20" s="18" t="inlineStr">
        <is>
          <t>Progress</t>
        </is>
      </c>
    </row>
    <row r="21">
      <c r="B21" s="20" t="inlineStr">
        <is>
          <t>Breakfast</t>
        </is>
      </c>
      <c r="C21" s="25">
        <f>INDEX('Meals'!$C$7:$I$7,WEEKDAY(TODAY(),2))</f>
        <v/>
      </c>
      <c r="E21" s="20">
        <f t="array" ref="E21">IFERROR(INDEX('Cleaning'!$B$7:$B$46,SMALL(IF('Cleaning'!$G$7:$G$46&lt;&gt;"Upcoming",IF('Cleaning'!$G$7:$G$46&lt;&gt;"",ROW('Cleaning'!$G$7:$G$46)-6)),1)),"")</f>
        <v/>
      </c>
      <c r="F21" s="20">
        <f t="array" ref="F21">IFERROR(INDEX('Cleaning'!$G$7:$G$46,SMALL(IF('Cleaning'!$G$7:$G$46&lt;&gt;"Upcoming",IF('Cleaning'!$G$7:$G$46&lt;&gt;"",ROW('Cleaning'!$G$7:$G$46)-6)),1)),"")</f>
        <v/>
      </c>
      <c r="H21" s="20">
        <f>IF('Savings &amp; Debt'!B7="","",'Savings &amp; Debt'!B7)</f>
        <v/>
      </c>
      <c r="I21" s="22">
        <f>IF('Savings &amp; Debt'!B7="","",'Savings &amp; Debt'!F7)</f>
        <v/>
      </c>
    </row>
    <row r="22">
      <c r="B22" s="20" t="inlineStr">
        <is>
          <t>Lunch</t>
        </is>
      </c>
      <c r="C22" s="25">
        <f>INDEX('Meals'!$C$8:$I$8,WEEKDAY(TODAY(),2))</f>
        <v/>
      </c>
      <c r="E22" s="20">
        <f t="array" ref="E22">IFERROR(INDEX('Cleaning'!$B$7:$B$46,SMALL(IF('Cleaning'!$G$7:$G$46&lt;&gt;"Upcoming",IF('Cleaning'!$G$7:$G$46&lt;&gt;"",ROW('Cleaning'!$G$7:$G$46)-6)),2)),"")</f>
        <v/>
      </c>
      <c r="F22" s="20">
        <f t="array" ref="F22">IFERROR(INDEX('Cleaning'!$G$7:$G$46,SMALL(IF('Cleaning'!$G$7:$G$46&lt;&gt;"Upcoming",IF('Cleaning'!$G$7:$G$46&lt;&gt;"",ROW('Cleaning'!$G$7:$G$46)-6)),2)),"")</f>
        <v/>
      </c>
      <c r="H22" s="20">
        <f>IF('Savings &amp; Debt'!B8="","",'Savings &amp; Debt'!B8)</f>
        <v/>
      </c>
      <c r="I22" s="22">
        <f>IF('Savings &amp; Debt'!B8="","",'Savings &amp; Debt'!F8)</f>
        <v/>
      </c>
    </row>
    <row r="23">
      <c r="B23" s="20" t="inlineStr">
        <is>
          <t>Dinner</t>
        </is>
      </c>
      <c r="C23" s="25">
        <f>INDEX('Meals'!$C$9:$I$9,WEEKDAY(TODAY(),2))</f>
        <v/>
      </c>
      <c r="E23" s="20">
        <f t="array" ref="E23">IFERROR(INDEX('Cleaning'!$B$7:$B$46,SMALL(IF('Cleaning'!$G$7:$G$46&lt;&gt;"Upcoming",IF('Cleaning'!$G$7:$G$46&lt;&gt;"",ROW('Cleaning'!$G$7:$G$46)-6)),3)),"")</f>
        <v/>
      </c>
      <c r="F23" s="20">
        <f t="array" ref="F23">IFERROR(INDEX('Cleaning'!$G$7:$G$46,SMALL(IF('Cleaning'!$G$7:$G$46&lt;&gt;"Upcoming",IF('Cleaning'!$G$7:$G$46&lt;&gt;"",ROW('Cleaning'!$G$7:$G$46)-6)),3)),"")</f>
        <v/>
      </c>
      <c r="H23" s="20">
        <f>IF('Savings &amp; Debt'!B9="","",'Savings &amp; Debt'!B9)</f>
        <v/>
      </c>
      <c r="I23" s="22">
        <f>IF('Savings &amp; Debt'!B9="","",'Savings &amp; Debt'!F9)</f>
        <v/>
      </c>
    </row>
    <row r="24">
      <c r="B24" s="20" t="inlineStr">
        <is>
          <t>Snacks</t>
        </is>
      </c>
      <c r="C24" s="25">
        <f>INDEX('Meals'!$C$10:$I$10,WEEKDAY(TODAY(),2))</f>
        <v/>
      </c>
      <c r="E24" s="20">
        <f t="array" ref="E24">IFERROR(INDEX('Cleaning'!$B$7:$B$46,SMALL(IF('Cleaning'!$G$7:$G$46&lt;&gt;"Upcoming",IF('Cleaning'!$G$7:$G$46&lt;&gt;"",ROW('Cleaning'!$G$7:$G$46)-6)),4)),"")</f>
        <v/>
      </c>
      <c r="F24" s="20">
        <f t="array" ref="F24">IFERROR(INDEX('Cleaning'!$G$7:$G$46,SMALL(IF('Cleaning'!$G$7:$G$46&lt;&gt;"Upcoming",IF('Cleaning'!$G$7:$G$46&lt;&gt;"",ROW('Cleaning'!$G$7:$G$46)-6)),4)),"")</f>
        <v/>
      </c>
      <c r="H24" s="20">
        <f>IF('Savings &amp; Debt'!B10="","",'Savings &amp; Debt'!B10)</f>
        <v/>
      </c>
      <c r="I24" s="22">
        <f>IF('Savings &amp; Debt'!B10="","",'Savings &amp; Debt'!F10)</f>
        <v/>
      </c>
    </row>
    <row r="25">
      <c r="E25" s="20">
        <f t="array" ref="E25">IFERROR(INDEX('Cleaning'!$B$7:$B$46,SMALL(IF('Cleaning'!$G$7:$G$46&lt;&gt;"Upcoming",IF('Cleaning'!$G$7:$G$46&lt;&gt;"",ROW('Cleaning'!$G$7:$G$46)-6)),5)),"")</f>
        <v/>
      </c>
      <c r="F25" s="20">
        <f t="array" ref="F25">IFERROR(INDEX('Cleaning'!$G$7:$G$46,SMALL(IF('Cleaning'!$G$7:$G$46&lt;&gt;"Upcoming",IF('Cleaning'!$G$7:$G$46&lt;&gt;"",ROW('Cleaning'!$G$7:$G$46)-6)),5)),"")</f>
        <v/>
      </c>
      <c r="H25" s="20">
        <f>IF('Savings &amp; Debt'!B11="","",'Savings &amp; Debt'!B11)</f>
        <v/>
      </c>
      <c r="I25" s="22">
        <f>IF('Savings &amp; Debt'!B11="","",'Savings &amp; Debt'!F11)</f>
        <v/>
      </c>
    </row>
    <row r="26">
      <c r="E26" s="20">
        <f t="array" ref="E26">IFERROR(INDEX('Cleaning'!$B$7:$B$46,SMALL(IF('Cleaning'!$G$7:$G$46&lt;&gt;"Upcoming",IF('Cleaning'!$G$7:$G$46&lt;&gt;"",ROW('Cleaning'!$G$7:$G$46)-6)),6)),"")</f>
        <v/>
      </c>
      <c r="F26" s="20">
        <f t="array" ref="F26">IFERROR(INDEX('Cleaning'!$G$7:$G$46,SMALL(IF('Cleaning'!$G$7:$G$46&lt;&gt;"Upcoming",IF('Cleaning'!$G$7:$G$46&lt;&gt;"",ROW('Cleaning'!$G$7:$G$46)-6)),6)),"")</f>
        <v/>
      </c>
      <c r="H26" s="20">
        <f>IF('Savings &amp; Debt'!B12="","",'Savings &amp; Debt'!B12)</f>
        <v/>
      </c>
      <c r="I26" s="22">
        <f>IF('Savings &amp; Debt'!B12="","",'Savings &amp; Debt'!F12)</f>
        <v/>
      </c>
    </row>
  </sheetData>
  <mergeCells count="6">
    <mergeCell ref="B6:C6"/>
    <mergeCell ref="E6:F6"/>
    <mergeCell ref="H6:I6"/>
    <mergeCell ref="B7:C7"/>
    <mergeCell ref="E7:F7"/>
    <mergeCell ref="H7:I7"/>
  </mergeCells>
  <conditionalFormatting sqref="F10:F17">
    <cfRule type="expression" priority="1" dxfId="0">
      <formula>AND(F10&lt;&gt;"",F10&lt;TODAY())</formula>
    </cfRule>
  </conditionalFormatting>
  <conditionalFormatting sqref="I10:I17">
    <cfRule type="dataBar" priority="2">
      <dataBar>
        <cfvo type="num" val="0"/>
        <cfvo type="num" val="1"/>
        <color rgb="00A8C3A0"/>
      </dataBar>
    </cfRule>
  </conditionalFormatting>
  <conditionalFormatting sqref="I21:I26">
    <cfRule type="dataBar" priority="3">
      <dataBar>
        <cfvo type="num" val="0"/>
        <cfvo type="num" val="1"/>
        <color rgb="00A8C3A0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G34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4" customWidth="1" min="4" max="4"/>
    <col width="26" customWidth="1" min="5" max="5"/>
    <col width="22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2" t="inlineStr">
        <is>
          <t>Setup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Fill the white cells once. Everything else follows.</t>
        </is>
      </c>
      <c r="C3" s="1" t="n"/>
      <c r="D3" s="1" t="n"/>
      <c r="E3" s="1" t="n"/>
      <c r="F3" s="1" t="n"/>
      <c r="G3" s="1" t="n"/>
    </row>
    <row r="4" ht="8" customHeight="1"/>
    <row r="6">
      <c r="B6" s="26" t="inlineStr">
        <is>
          <t>Your name</t>
        </is>
      </c>
      <c r="C6" s="27" t="inlineStr">
        <is>
          <t>Alex</t>
        </is>
      </c>
    </row>
    <row r="7">
      <c r="B7" s="26" t="inlineStr">
        <is>
          <t>Currency symbol</t>
        </is>
      </c>
      <c r="C7" s="27" t="inlineStr">
        <is>
          <t>$</t>
        </is>
      </c>
    </row>
    <row r="8">
      <c r="B8" s="26" t="inlineStr">
        <is>
          <t>Planning month (first day)</t>
        </is>
      </c>
      <c r="C8" s="28" t="n">
        <v>46296</v>
      </c>
    </row>
    <row r="9">
      <c r="B9" s="26" t="inlineStr">
        <is>
          <t>Year</t>
        </is>
      </c>
      <c r="C9" s="29">
        <f>YEAR(C8)</f>
        <v/>
      </c>
    </row>
    <row r="11" ht="28" customHeight="1">
      <c r="B11" s="18" t="inlineStr">
        <is>
          <t>Income categories</t>
        </is>
      </c>
      <c r="E11" s="23" t="inlineStr">
        <is>
          <t>Expense categories</t>
        </is>
      </c>
    </row>
    <row r="12">
      <c r="B12" s="30" t="inlineStr">
        <is>
          <t>Salary</t>
        </is>
      </c>
      <c r="E12" s="30" t="inlineStr">
        <is>
          <t>Rent / Mortgage</t>
        </is>
      </c>
    </row>
    <row r="13">
      <c r="B13" s="30" t="inlineStr">
        <is>
          <t>Side income</t>
        </is>
      </c>
      <c r="E13" s="30" t="inlineStr">
        <is>
          <t>Utilities</t>
        </is>
      </c>
    </row>
    <row r="14">
      <c r="B14" s="30" t="inlineStr">
        <is>
          <t>Gifts</t>
        </is>
      </c>
      <c r="E14" s="30" t="inlineStr">
        <is>
          <t>Groceries</t>
        </is>
      </c>
    </row>
    <row r="15">
      <c r="B15" s="30" t="inlineStr">
        <is>
          <t>Refunds</t>
        </is>
      </c>
      <c r="E15" s="30" t="inlineStr">
        <is>
          <t>Transport</t>
        </is>
      </c>
    </row>
    <row r="16">
      <c r="B16" s="30" t="inlineStr">
        <is>
          <t>Other income</t>
        </is>
      </c>
      <c r="E16" s="30" t="inlineStr">
        <is>
          <t>Insurance</t>
        </is>
      </c>
    </row>
    <row r="17">
      <c r="B17" s="30" t="n"/>
      <c r="E17" s="30" t="inlineStr">
        <is>
          <t>Phone &amp; Internet</t>
        </is>
      </c>
    </row>
    <row r="18">
      <c r="B18" s="30" t="n"/>
      <c r="E18" s="30" t="inlineStr">
        <is>
          <t>Subscriptions</t>
        </is>
      </c>
    </row>
    <row r="19">
      <c r="B19" s="30" t="n"/>
      <c r="E19" s="30" t="inlineStr">
        <is>
          <t>Eating out</t>
        </is>
      </c>
    </row>
    <row r="20">
      <c r="B20" s="30" t="n"/>
      <c r="E20" s="30" t="inlineStr">
        <is>
          <t>Health</t>
        </is>
      </c>
    </row>
    <row r="21">
      <c r="B21" s="30" t="n"/>
      <c r="E21" s="30" t="inlineStr">
        <is>
          <t>Personal care</t>
        </is>
      </c>
    </row>
    <row r="22">
      <c r="E22" s="30" t="inlineStr">
        <is>
          <t>Clothing</t>
        </is>
      </c>
    </row>
    <row r="23">
      <c r="E23" s="30" t="inlineStr">
        <is>
          <t>Kids</t>
        </is>
      </c>
    </row>
    <row r="24">
      <c r="E24" s="30" t="inlineStr">
        <is>
          <t>Pets</t>
        </is>
      </c>
    </row>
    <row r="25">
      <c r="E25" s="30" t="inlineStr">
        <is>
          <t>Gifts &amp; Events</t>
        </is>
      </c>
    </row>
    <row r="26">
      <c r="E26" s="30" t="inlineStr">
        <is>
          <t>Entertainment</t>
        </is>
      </c>
    </row>
    <row r="27">
      <c r="E27" s="30" t="inlineStr">
        <is>
          <t>Savings transfer</t>
        </is>
      </c>
    </row>
    <row r="28">
      <c r="E28" s="30" t="inlineStr">
        <is>
          <t>Debt payment</t>
        </is>
      </c>
    </row>
    <row r="29">
      <c r="E29" s="30" t="inlineStr">
        <is>
          <t>Other</t>
        </is>
      </c>
    </row>
    <row r="30">
      <c r="E30" s="30" t="n"/>
    </row>
    <row r="31">
      <c r="E31" s="30" t="n"/>
    </row>
    <row r="34">
      <c r="B34" s="31" t="inlineStr">
        <is>
          <t>Tip: rename any category; every tab picks up the new name.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H506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1" customWidth="1" min="3" max="3"/>
    <col width="22" customWidth="1" min="4" max="4"/>
    <col width="13" customWidth="1" min="5" max="5"/>
    <col width="34" customWidth="1" min="6" max="6"/>
    <col width="11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" t="n"/>
      <c r="B2" s="2" t="inlineStr">
        <is>
          <t>Money Log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One row per transaction. Choose Income or Expense, then a category.</t>
        </is>
      </c>
      <c r="C3" s="1" t="n"/>
      <c r="D3" s="1" t="n"/>
      <c r="E3" s="1" t="n"/>
      <c r="F3" s="1" t="n"/>
      <c r="G3" s="1" t="n"/>
      <c r="H3" s="1" t="n"/>
    </row>
    <row r="4" ht="8" customHeight="1"/>
    <row r="6" ht="28" customHeight="1">
      <c r="B6" s="19" t="inlineStr">
        <is>
          <t>Date</t>
        </is>
      </c>
      <c r="C6" s="19" t="inlineStr">
        <is>
          <t>Type</t>
        </is>
      </c>
      <c r="D6" s="19" t="inlineStr">
        <is>
          <t>Category</t>
        </is>
      </c>
      <c r="E6" s="19" t="inlineStr">
        <is>
          <t>Amount</t>
        </is>
      </c>
      <c r="F6" s="19" t="inlineStr">
        <is>
          <t>Note</t>
        </is>
      </c>
      <c r="G6" s="19" t="inlineStr">
        <is>
          <t>Month</t>
        </is>
      </c>
    </row>
    <row r="7">
      <c r="B7" s="32" t="n">
        <v>46235</v>
      </c>
      <c r="C7" s="30" t="inlineStr">
        <is>
          <t>Expense</t>
        </is>
      </c>
      <c r="D7" s="30" t="inlineStr">
        <is>
          <t>Rent / Mortgage</t>
        </is>
      </c>
      <c r="E7" s="33" t="n">
        <v>1150</v>
      </c>
      <c r="F7" s="30" t="inlineStr">
        <is>
          <t>Rent</t>
        </is>
      </c>
      <c r="G7" s="34">
        <f>IF(B7="","",DATE(YEAR(B7),MONTH(B7),1))</f>
        <v/>
      </c>
    </row>
    <row r="8">
      <c r="B8" s="32" t="n">
        <v>46235</v>
      </c>
      <c r="C8" s="30" t="inlineStr">
        <is>
          <t>Income</t>
        </is>
      </c>
      <c r="D8" s="30" t="inlineStr">
        <is>
          <t>Salary</t>
        </is>
      </c>
      <c r="E8" s="33" t="n">
        <v>3250</v>
      </c>
      <c r="F8" s="30" t="inlineStr">
        <is>
          <t>Payday</t>
        </is>
      </c>
      <c r="G8" s="34">
        <f>IF(B8="","",DATE(YEAR(B8),MONTH(B8),1))</f>
        <v/>
      </c>
    </row>
    <row r="9">
      <c r="B9" s="32" t="n">
        <v>46237</v>
      </c>
      <c r="C9" s="30" t="inlineStr">
        <is>
          <t>Expense</t>
        </is>
      </c>
      <c r="D9" s="30" t="inlineStr">
        <is>
          <t>Groceries</t>
        </is>
      </c>
      <c r="E9" s="33" t="n">
        <v>127</v>
      </c>
      <c r="F9" s="30" t="inlineStr">
        <is>
          <t>Weekly shop</t>
        </is>
      </c>
      <c r="G9" s="34">
        <f>IF(B9="","",DATE(YEAR(B9),MONTH(B9),1))</f>
        <v/>
      </c>
    </row>
    <row r="10">
      <c r="B10" s="32" t="n">
        <v>46238</v>
      </c>
      <c r="C10" s="30" t="inlineStr">
        <is>
          <t>Expense</t>
        </is>
      </c>
      <c r="D10" s="30" t="inlineStr">
        <is>
          <t>Health</t>
        </is>
      </c>
      <c r="E10" s="33" t="n">
        <v>24</v>
      </c>
      <c r="F10" s="30" t="inlineStr"/>
      <c r="G10" s="34">
        <f>IF(B10="","",DATE(YEAR(B10),MONTH(B10),1))</f>
        <v/>
      </c>
    </row>
    <row r="11">
      <c r="B11" s="32" t="n">
        <v>46238</v>
      </c>
      <c r="C11" s="30" t="inlineStr">
        <is>
          <t>Expense</t>
        </is>
      </c>
      <c r="D11" s="30" t="inlineStr">
        <is>
          <t>Transport</t>
        </is>
      </c>
      <c r="E11" s="33" t="n">
        <v>48</v>
      </c>
      <c r="F11" s="30" t="inlineStr"/>
      <c r="G11" s="34">
        <f>IF(B11="","",DATE(YEAR(B11),MONTH(B11),1))</f>
        <v/>
      </c>
    </row>
    <row r="12">
      <c r="B12" s="32" t="n">
        <v>46239</v>
      </c>
      <c r="C12" s="30" t="inlineStr">
        <is>
          <t>Expense</t>
        </is>
      </c>
      <c r="D12" s="30" t="inlineStr">
        <is>
          <t>Utilities</t>
        </is>
      </c>
      <c r="E12" s="33" t="n">
        <v>96</v>
      </c>
      <c r="F12" s="30" t="inlineStr"/>
      <c r="G12" s="34">
        <f>IF(B12="","",DATE(YEAR(B12),MONTH(B12),1))</f>
        <v/>
      </c>
    </row>
    <row r="13">
      <c r="B13" s="32" t="n">
        <v>46240</v>
      </c>
      <c r="C13" s="30" t="inlineStr">
        <is>
          <t>Expense</t>
        </is>
      </c>
      <c r="D13" s="30" t="inlineStr">
        <is>
          <t>Phone &amp; Internet</t>
        </is>
      </c>
      <c r="E13" s="33" t="n">
        <v>65</v>
      </c>
      <c r="F13" s="30" t="inlineStr"/>
      <c r="G13" s="34">
        <f>IF(B13="","",DATE(YEAR(B13),MONTH(B13),1))</f>
        <v/>
      </c>
    </row>
    <row r="14">
      <c r="B14" s="32" t="n">
        <v>46241</v>
      </c>
      <c r="C14" s="30" t="inlineStr">
        <is>
          <t>Expense</t>
        </is>
      </c>
      <c r="D14" s="30" t="inlineStr">
        <is>
          <t>Pets</t>
        </is>
      </c>
      <c r="E14" s="33" t="n">
        <v>58</v>
      </c>
      <c r="F14" s="30" t="inlineStr"/>
      <c r="G14" s="34">
        <f>IF(B14="","",DATE(YEAR(B14),MONTH(B14),1))</f>
        <v/>
      </c>
    </row>
    <row r="15">
      <c r="B15" s="32" t="n">
        <v>46242</v>
      </c>
      <c r="C15" s="30" t="inlineStr">
        <is>
          <t>Expense</t>
        </is>
      </c>
      <c r="D15" s="30" t="inlineStr">
        <is>
          <t>Eating out</t>
        </is>
      </c>
      <c r="E15" s="33" t="n">
        <v>46</v>
      </c>
      <c r="F15" s="30" t="inlineStr"/>
      <c r="G15" s="34">
        <f>IF(B15="","",DATE(YEAR(B15),MONTH(B15),1))</f>
        <v/>
      </c>
    </row>
    <row r="16">
      <c r="B16" s="32" t="n">
        <v>46243</v>
      </c>
      <c r="C16" s="30" t="inlineStr">
        <is>
          <t>Expense</t>
        </is>
      </c>
      <c r="D16" s="30" t="inlineStr">
        <is>
          <t>Insurance</t>
        </is>
      </c>
      <c r="E16" s="33" t="n">
        <v>142</v>
      </c>
      <c r="F16" s="30" t="inlineStr"/>
      <c r="G16" s="34">
        <f>IF(B16="","",DATE(YEAR(B16),MONTH(B16),1))</f>
        <v/>
      </c>
    </row>
    <row r="17">
      <c r="B17" s="32" t="n">
        <v>46244</v>
      </c>
      <c r="C17" s="30" t="inlineStr">
        <is>
          <t>Expense</t>
        </is>
      </c>
      <c r="D17" s="30" t="inlineStr">
        <is>
          <t>Groceries</t>
        </is>
      </c>
      <c r="E17" s="33" t="n">
        <v>84</v>
      </c>
      <c r="F17" s="30" t="inlineStr">
        <is>
          <t>Weekly shop</t>
        </is>
      </c>
      <c r="G17" s="34">
        <f>IF(B17="","",DATE(YEAR(B17),MONTH(B17),1))</f>
        <v/>
      </c>
    </row>
    <row r="18">
      <c r="B18" s="32" t="n">
        <v>46245</v>
      </c>
      <c r="C18" s="30" t="inlineStr">
        <is>
          <t>Expense</t>
        </is>
      </c>
      <c r="D18" s="30" t="inlineStr">
        <is>
          <t>Entertainment</t>
        </is>
      </c>
      <c r="E18" s="33" t="n">
        <v>29</v>
      </c>
      <c r="F18" s="30" t="inlineStr"/>
      <c r="G18" s="34">
        <f>IF(B18="","",DATE(YEAR(B18),MONTH(B18),1))</f>
        <v/>
      </c>
    </row>
    <row r="19">
      <c r="B19" s="32" t="n">
        <v>46245</v>
      </c>
      <c r="C19" s="30" t="inlineStr">
        <is>
          <t>Expense</t>
        </is>
      </c>
      <c r="D19" s="30" t="inlineStr">
        <is>
          <t>Transport</t>
        </is>
      </c>
      <c r="E19" s="33" t="n">
        <v>35</v>
      </c>
      <c r="F19" s="30" t="inlineStr"/>
      <c r="G19" s="34">
        <f>IF(B19="","",DATE(YEAR(B19),MONTH(B19),1))</f>
        <v/>
      </c>
    </row>
    <row r="20">
      <c r="B20" s="32" t="n">
        <v>46246</v>
      </c>
      <c r="C20" s="30" t="inlineStr">
        <is>
          <t>Expense</t>
        </is>
      </c>
      <c r="D20" s="30" t="inlineStr">
        <is>
          <t>Subscriptions</t>
        </is>
      </c>
      <c r="E20" s="33" t="n">
        <v>38</v>
      </c>
      <c r="F20" s="30" t="inlineStr"/>
      <c r="G20" s="34">
        <f>IF(B20="","",DATE(YEAR(B20),MONTH(B20),1))</f>
        <v/>
      </c>
    </row>
    <row r="21">
      <c r="B21" s="32" t="n">
        <v>46249</v>
      </c>
      <c r="C21" s="30" t="inlineStr">
        <is>
          <t>Income</t>
        </is>
      </c>
      <c r="D21" s="30" t="inlineStr">
        <is>
          <t>Side income</t>
        </is>
      </c>
      <c r="E21" s="33" t="n">
        <v>340</v>
      </c>
      <c r="F21" s="30" t="inlineStr"/>
      <c r="G21" s="34">
        <f>IF(B21="","",DATE(YEAR(B21),MONTH(B21),1))</f>
        <v/>
      </c>
    </row>
    <row r="22">
      <c r="B22" s="32" t="n">
        <v>46251</v>
      </c>
      <c r="C22" s="30" t="inlineStr">
        <is>
          <t>Expense</t>
        </is>
      </c>
      <c r="D22" s="30" t="inlineStr">
        <is>
          <t>Groceries</t>
        </is>
      </c>
      <c r="E22" s="33" t="n">
        <v>84</v>
      </c>
      <c r="F22" s="30" t="inlineStr">
        <is>
          <t>Weekly shop</t>
        </is>
      </c>
      <c r="G22" s="34">
        <f>IF(B22="","",DATE(YEAR(B22),MONTH(B22),1))</f>
        <v/>
      </c>
    </row>
    <row r="23">
      <c r="B23" s="32" t="n">
        <v>46252</v>
      </c>
      <c r="C23" s="30" t="inlineStr">
        <is>
          <t>Expense</t>
        </is>
      </c>
      <c r="D23" s="30" t="inlineStr">
        <is>
          <t>Transport</t>
        </is>
      </c>
      <c r="E23" s="33" t="n">
        <v>42</v>
      </c>
      <c r="F23" s="30" t="inlineStr"/>
      <c r="G23" s="34">
        <f>IF(B23="","",DATE(YEAR(B23),MONTH(B23),1))</f>
        <v/>
      </c>
    </row>
    <row r="24">
      <c r="B24" s="32" t="n">
        <v>46254</v>
      </c>
      <c r="C24" s="30" t="inlineStr">
        <is>
          <t>Expense</t>
        </is>
      </c>
      <c r="D24" s="30" t="inlineStr">
        <is>
          <t>Savings transfer</t>
        </is>
      </c>
      <c r="E24" s="33" t="n">
        <v>300</v>
      </c>
      <c r="F24" s="30" t="inlineStr">
        <is>
          <t>Emergency fund</t>
        </is>
      </c>
      <c r="G24" s="34">
        <f>IF(B24="","",DATE(YEAR(B24),MONTH(B24),1))</f>
        <v/>
      </c>
    </row>
    <row r="25">
      <c r="B25" s="32" t="n">
        <v>46255</v>
      </c>
      <c r="C25" s="30" t="inlineStr">
        <is>
          <t>Expense</t>
        </is>
      </c>
      <c r="D25" s="30" t="inlineStr">
        <is>
          <t>Debt payment</t>
        </is>
      </c>
      <c r="E25" s="33" t="n">
        <v>250</v>
      </c>
      <c r="F25" s="30" t="inlineStr">
        <is>
          <t>Card payment</t>
        </is>
      </c>
      <c r="G25" s="34">
        <f>IF(B25="","",DATE(YEAR(B25),MONTH(B25),1))</f>
        <v/>
      </c>
    </row>
    <row r="26">
      <c r="B26" s="32" t="n">
        <v>46258</v>
      </c>
      <c r="C26" s="30" t="inlineStr">
        <is>
          <t>Expense</t>
        </is>
      </c>
      <c r="D26" s="30" t="inlineStr">
        <is>
          <t>Groceries</t>
        </is>
      </c>
      <c r="E26" s="33" t="n">
        <v>84</v>
      </c>
      <c r="F26" s="30" t="inlineStr">
        <is>
          <t>Weekly shop</t>
        </is>
      </c>
      <c r="G26" s="34">
        <f>IF(B26="","",DATE(YEAR(B26),MONTH(B26),1))</f>
        <v/>
      </c>
    </row>
    <row r="27">
      <c r="B27" s="32" t="n">
        <v>46259</v>
      </c>
      <c r="C27" s="30" t="inlineStr">
        <is>
          <t>Expense</t>
        </is>
      </c>
      <c r="D27" s="30" t="inlineStr">
        <is>
          <t>Transport</t>
        </is>
      </c>
      <c r="E27" s="33" t="n">
        <v>48</v>
      </c>
      <c r="F27" s="30" t="inlineStr"/>
      <c r="G27" s="34">
        <f>IF(B27="","",DATE(YEAR(B27),MONTH(B27),1))</f>
        <v/>
      </c>
    </row>
    <row r="28">
      <c r="B28" s="32" t="n">
        <v>46266</v>
      </c>
      <c r="C28" s="30" t="inlineStr">
        <is>
          <t>Expense</t>
        </is>
      </c>
      <c r="D28" s="30" t="inlineStr">
        <is>
          <t>Rent / Mortgage</t>
        </is>
      </c>
      <c r="E28" s="33" t="n">
        <v>1150</v>
      </c>
      <c r="F28" s="30" t="inlineStr">
        <is>
          <t>Rent</t>
        </is>
      </c>
      <c r="G28" s="34">
        <f>IF(B28="","",DATE(YEAR(B28),MONTH(B28),1))</f>
        <v/>
      </c>
    </row>
    <row r="29">
      <c r="B29" s="32" t="n">
        <v>46266</v>
      </c>
      <c r="C29" s="30" t="inlineStr">
        <is>
          <t>Income</t>
        </is>
      </c>
      <c r="D29" s="30" t="inlineStr">
        <is>
          <t>Salary</t>
        </is>
      </c>
      <c r="E29" s="33" t="n">
        <v>3250</v>
      </c>
      <c r="F29" s="30" t="inlineStr">
        <is>
          <t>Payday</t>
        </is>
      </c>
      <c r="G29" s="34">
        <f>IF(B29="","",DATE(YEAR(B29),MONTH(B29),1))</f>
        <v/>
      </c>
    </row>
    <row r="30">
      <c r="B30" s="32" t="n">
        <v>46268</v>
      </c>
      <c r="C30" s="30" t="inlineStr">
        <is>
          <t>Expense</t>
        </is>
      </c>
      <c r="D30" s="30" t="inlineStr">
        <is>
          <t>Groceries</t>
        </is>
      </c>
      <c r="E30" s="33" t="n">
        <v>84</v>
      </c>
      <c r="F30" s="30" t="inlineStr">
        <is>
          <t>Weekly shop</t>
        </is>
      </c>
      <c r="G30" s="34">
        <f>IF(B30="","",DATE(YEAR(B30),MONTH(B30),1))</f>
        <v/>
      </c>
    </row>
    <row r="31">
      <c r="B31" s="32" t="n">
        <v>46269</v>
      </c>
      <c r="C31" s="30" t="inlineStr">
        <is>
          <t>Expense</t>
        </is>
      </c>
      <c r="D31" s="30" t="inlineStr">
        <is>
          <t>Health</t>
        </is>
      </c>
      <c r="E31" s="33" t="n">
        <v>24</v>
      </c>
      <c r="F31" s="30" t="inlineStr"/>
      <c r="G31" s="34">
        <f>IF(B31="","",DATE(YEAR(B31),MONTH(B31),1))</f>
        <v/>
      </c>
    </row>
    <row r="32">
      <c r="B32" s="32" t="n">
        <v>46269</v>
      </c>
      <c r="C32" s="30" t="inlineStr">
        <is>
          <t>Expense</t>
        </is>
      </c>
      <c r="D32" s="30" t="inlineStr">
        <is>
          <t>Transport</t>
        </is>
      </c>
      <c r="E32" s="33" t="n">
        <v>42</v>
      </c>
      <c r="F32" s="30" t="inlineStr"/>
      <c r="G32" s="34">
        <f>IF(B32="","",DATE(YEAR(B32),MONTH(B32),1))</f>
        <v/>
      </c>
    </row>
    <row r="33">
      <c r="B33" s="32" t="n">
        <v>46270</v>
      </c>
      <c r="C33" s="30" t="inlineStr">
        <is>
          <t>Expense</t>
        </is>
      </c>
      <c r="D33" s="30" t="inlineStr">
        <is>
          <t>Utilities</t>
        </is>
      </c>
      <c r="E33" s="33" t="n">
        <v>96</v>
      </c>
      <c r="F33" s="30" t="inlineStr"/>
      <c r="G33" s="34">
        <f>IF(B33="","",DATE(YEAR(B33),MONTH(B33),1))</f>
        <v/>
      </c>
    </row>
    <row r="34">
      <c r="B34" s="32" t="n">
        <v>46271</v>
      </c>
      <c r="C34" s="30" t="inlineStr">
        <is>
          <t>Expense</t>
        </is>
      </c>
      <c r="D34" s="30" t="inlineStr">
        <is>
          <t>Phone &amp; Internet</t>
        </is>
      </c>
      <c r="E34" s="33" t="n">
        <v>65</v>
      </c>
      <c r="F34" s="30" t="inlineStr"/>
      <c r="G34" s="34">
        <f>IF(B34="","",DATE(YEAR(B34),MONTH(B34),1))</f>
        <v/>
      </c>
    </row>
    <row r="35">
      <c r="B35" s="32" t="n">
        <v>46272</v>
      </c>
      <c r="C35" s="30" t="inlineStr">
        <is>
          <t>Expense</t>
        </is>
      </c>
      <c r="D35" s="30" t="inlineStr">
        <is>
          <t>Pets</t>
        </is>
      </c>
      <c r="E35" s="33" t="n">
        <v>58</v>
      </c>
      <c r="F35" s="30" t="inlineStr"/>
      <c r="G35" s="34">
        <f>IF(B35="","",DATE(YEAR(B35),MONTH(B35),1))</f>
        <v/>
      </c>
    </row>
    <row r="36">
      <c r="B36" s="32" t="n">
        <v>46273</v>
      </c>
      <c r="C36" s="30" t="inlineStr">
        <is>
          <t>Expense</t>
        </is>
      </c>
      <c r="D36" s="30" t="inlineStr">
        <is>
          <t>Eating out</t>
        </is>
      </c>
      <c r="E36" s="33" t="n">
        <v>46</v>
      </c>
      <c r="F36" s="30" t="inlineStr"/>
      <c r="G36" s="34">
        <f>IF(B36="","",DATE(YEAR(B36),MONTH(B36),1))</f>
        <v/>
      </c>
    </row>
    <row r="37">
      <c r="B37" s="32" t="n">
        <v>46274</v>
      </c>
      <c r="C37" s="30" t="inlineStr">
        <is>
          <t>Expense</t>
        </is>
      </c>
      <c r="D37" s="30" t="inlineStr">
        <is>
          <t>Insurance</t>
        </is>
      </c>
      <c r="E37" s="33" t="n">
        <v>142</v>
      </c>
      <c r="F37" s="30" t="inlineStr"/>
      <c r="G37" s="34">
        <f>IF(B37="","",DATE(YEAR(B37),MONTH(B37),1))</f>
        <v/>
      </c>
    </row>
    <row r="38">
      <c r="B38" s="32" t="n">
        <v>46275</v>
      </c>
      <c r="C38" s="30" t="inlineStr">
        <is>
          <t>Expense</t>
        </is>
      </c>
      <c r="D38" s="30" t="inlineStr">
        <is>
          <t>Groceries</t>
        </is>
      </c>
      <c r="E38" s="33" t="n">
        <v>127</v>
      </c>
      <c r="F38" s="30" t="inlineStr">
        <is>
          <t>Weekly shop</t>
        </is>
      </c>
      <c r="G38" s="34">
        <f>IF(B38="","",DATE(YEAR(B38),MONTH(B38),1))</f>
        <v/>
      </c>
    </row>
    <row r="39">
      <c r="B39" s="32" t="n">
        <v>46276</v>
      </c>
      <c r="C39" s="30" t="inlineStr">
        <is>
          <t>Expense</t>
        </is>
      </c>
      <c r="D39" s="30" t="inlineStr">
        <is>
          <t>Entertainment</t>
        </is>
      </c>
      <c r="E39" s="33" t="n">
        <v>29</v>
      </c>
      <c r="F39" s="30" t="inlineStr"/>
      <c r="G39" s="34">
        <f>IF(B39="","",DATE(YEAR(B39),MONTH(B39),1))</f>
        <v/>
      </c>
    </row>
    <row r="40">
      <c r="B40" s="32" t="n">
        <v>46276</v>
      </c>
      <c r="C40" s="30" t="inlineStr">
        <is>
          <t>Expense</t>
        </is>
      </c>
      <c r="D40" s="30" t="inlineStr">
        <is>
          <t>Transport</t>
        </is>
      </c>
      <c r="E40" s="33" t="n">
        <v>35</v>
      </c>
      <c r="F40" s="30" t="inlineStr"/>
      <c r="G40" s="34">
        <f>IF(B40="","",DATE(YEAR(B40),MONTH(B40),1))</f>
        <v/>
      </c>
    </row>
    <row r="41">
      <c r="B41" s="32" t="n">
        <v>46277</v>
      </c>
      <c r="C41" s="30" t="inlineStr">
        <is>
          <t>Expense</t>
        </is>
      </c>
      <c r="D41" s="30" t="inlineStr">
        <is>
          <t>Subscriptions</t>
        </is>
      </c>
      <c r="E41" s="33" t="n">
        <v>38</v>
      </c>
      <c r="F41" s="30" t="inlineStr"/>
      <c r="G41" s="34">
        <f>IF(B41="","",DATE(YEAR(B41),MONTH(B41),1))</f>
        <v/>
      </c>
    </row>
    <row r="42">
      <c r="B42" s="32" t="n">
        <v>46280</v>
      </c>
      <c r="C42" s="30" t="inlineStr">
        <is>
          <t>Income</t>
        </is>
      </c>
      <c r="D42" s="30" t="inlineStr">
        <is>
          <t>Side income</t>
        </is>
      </c>
      <c r="E42" s="33" t="n">
        <v>280</v>
      </c>
      <c r="F42" s="30" t="inlineStr"/>
      <c r="G42" s="34">
        <f>IF(B42="","",DATE(YEAR(B42),MONTH(B42),1))</f>
        <v/>
      </c>
    </row>
    <row r="43">
      <c r="B43" s="32" t="n">
        <v>46282</v>
      </c>
      <c r="C43" s="30" t="inlineStr">
        <is>
          <t>Expense</t>
        </is>
      </c>
      <c r="D43" s="30" t="inlineStr">
        <is>
          <t>Groceries</t>
        </is>
      </c>
      <c r="E43" s="33" t="n">
        <v>96</v>
      </c>
      <c r="F43" s="30" t="inlineStr">
        <is>
          <t>Weekly shop</t>
        </is>
      </c>
      <c r="G43" s="34">
        <f>IF(B43="","",DATE(YEAR(B43),MONTH(B43),1))</f>
        <v/>
      </c>
    </row>
    <row r="44">
      <c r="B44" s="32" t="n">
        <v>46283</v>
      </c>
      <c r="C44" s="30" t="inlineStr">
        <is>
          <t>Expense</t>
        </is>
      </c>
      <c r="D44" s="30" t="inlineStr">
        <is>
          <t>Transport</t>
        </is>
      </c>
      <c r="E44" s="33" t="n">
        <v>35</v>
      </c>
      <c r="F44" s="30" t="inlineStr"/>
      <c r="G44" s="34">
        <f>IF(B44="","",DATE(YEAR(B44),MONTH(B44),1))</f>
        <v/>
      </c>
    </row>
    <row r="45">
      <c r="B45" s="32" t="n">
        <v>46285</v>
      </c>
      <c r="C45" s="30" t="inlineStr">
        <is>
          <t>Expense</t>
        </is>
      </c>
      <c r="D45" s="30" t="inlineStr">
        <is>
          <t>Savings transfer</t>
        </is>
      </c>
      <c r="E45" s="33" t="n">
        <v>300</v>
      </c>
      <c r="F45" s="30" t="inlineStr">
        <is>
          <t>Emergency fund</t>
        </is>
      </c>
      <c r="G45" s="34">
        <f>IF(B45="","",DATE(YEAR(B45),MONTH(B45),1))</f>
        <v/>
      </c>
    </row>
    <row r="46">
      <c r="B46" s="32" t="n">
        <v>46286</v>
      </c>
      <c r="C46" s="30" t="inlineStr">
        <is>
          <t>Expense</t>
        </is>
      </c>
      <c r="D46" s="30" t="inlineStr">
        <is>
          <t>Debt payment</t>
        </is>
      </c>
      <c r="E46" s="33" t="n">
        <v>250</v>
      </c>
      <c r="F46" s="30" t="inlineStr">
        <is>
          <t>Card payment</t>
        </is>
      </c>
      <c r="G46" s="34">
        <f>IF(B46="","",DATE(YEAR(B46),MONTH(B46),1))</f>
        <v/>
      </c>
    </row>
    <row r="47">
      <c r="B47" s="32" t="n">
        <v>46289</v>
      </c>
      <c r="C47" s="30" t="inlineStr">
        <is>
          <t>Expense</t>
        </is>
      </c>
      <c r="D47" s="30" t="inlineStr">
        <is>
          <t>Groceries</t>
        </is>
      </c>
      <c r="E47" s="33" t="n">
        <v>127</v>
      </c>
      <c r="F47" s="30" t="inlineStr">
        <is>
          <t>Weekly shop</t>
        </is>
      </c>
      <c r="G47" s="34">
        <f>IF(B47="","",DATE(YEAR(B47),MONTH(B47),1))</f>
        <v/>
      </c>
    </row>
    <row r="48">
      <c r="B48" s="32" t="n">
        <v>46290</v>
      </c>
      <c r="C48" s="30" t="inlineStr">
        <is>
          <t>Expense</t>
        </is>
      </c>
      <c r="D48" s="30" t="inlineStr">
        <is>
          <t>Transport</t>
        </is>
      </c>
      <c r="E48" s="33" t="n">
        <v>35</v>
      </c>
      <c r="F48" s="30" t="inlineStr"/>
      <c r="G48" s="34">
        <f>IF(B48="","",DATE(YEAR(B48),MONTH(B48),1))</f>
        <v/>
      </c>
    </row>
    <row r="49">
      <c r="B49" s="32" t="n">
        <v>46296</v>
      </c>
      <c r="C49" s="30" t="inlineStr">
        <is>
          <t>Expense</t>
        </is>
      </c>
      <c r="D49" s="30" t="inlineStr">
        <is>
          <t>Rent / Mortgage</t>
        </is>
      </c>
      <c r="E49" s="33" t="n">
        <v>1150</v>
      </c>
      <c r="F49" s="30" t="inlineStr">
        <is>
          <t>Rent</t>
        </is>
      </c>
      <c r="G49" s="34">
        <f>IF(B49="","",DATE(YEAR(B49),MONTH(B49),1))</f>
        <v/>
      </c>
    </row>
    <row r="50">
      <c r="B50" s="32" t="n">
        <v>46296</v>
      </c>
      <c r="C50" s="30" t="inlineStr">
        <is>
          <t>Income</t>
        </is>
      </c>
      <c r="D50" s="30" t="inlineStr">
        <is>
          <t>Salary</t>
        </is>
      </c>
      <c r="E50" s="33" t="n">
        <v>3250</v>
      </c>
      <c r="F50" s="30" t="inlineStr">
        <is>
          <t>Payday</t>
        </is>
      </c>
      <c r="G50" s="34">
        <f>IF(B50="","",DATE(YEAR(B50),MONTH(B50),1))</f>
        <v/>
      </c>
    </row>
    <row r="51">
      <c r="B51" s="32" t="n">
        <v>46298</v>
      </c>
      <c r="C51" s="30" t="inlineStr">
        <is>
          <t>Expense</t>
        </is>
      </c>
      <c r="D51" s="30" t="inlineStr">
        <is>
          <t>Groceries</t>
        </is>
      </c>
      <c r="E51" s="33" t="n">
        <v>96</v>
      </c>
      <c r="F51" s="30" t="inlineStr">
        <is>
          <t>Weekly shop</t>
        </is>
      </c>
      <c r="G51" s="34">
        <f>IF(B51="","",DATE(YEAR(B51),MONTH(B51),1))</f>
        <v/>
      </c>
    </row>
    <row r="52">
      <c r="B52" s="32" t="n">
        <v>46299</v>
      </c>
      <c r="C52" s="30" t="inlineStr">
        <is>
          <t>Expense</t>
        </is>
      </c>
      <c r="D52" s="30" t="inlineStr">
        <is>
          <t>Health</t>
        </is>
      </c>
      <c r="E52" s="33" t="n">
        <v>24</v>
      </c>
      <c r="F52" s="30" t="inlineStr"/>
      <c r="G52" s="34">
        <f>IF(B52="","",DATE(YEAR(B52),MONTH(B52),1))</f>
        <v/>
      </c>
    </row>
    <row r="53">
      <c r="B53" s="32" t="n">
        <v>46299</v>
      </c>
      <c r="C53" s="30" t="inlineStr">
        <is>
          <t>Expense</t>
        </is>
      </c>
      <c r="D53" s="30" t="inlineStr">
        <is>
          <t>Transport</t>
        </is>
      </c>
      <c r="E53" s="33" t="n">
        <v>48</v>
      </c>
      <c r="F53" s="30" t="inlineStr"/>
      <c r="G53" s="34">
        <f>IF(B53="","",DATE(YEAR(B53),MONTH(B53),1))</f>
        <v/>
      </c>
    </row>
    <row r="54">
      <c r="B54" s="32" t="n">
        <v>46300</v>
      </c>
      <c r="C54" s="30" t="inlineStr">
        <is>
          <t>Expense</t>
        </is>
      </c>
      <c r="D54" s="30" t="inlineStr">
        <is>
          <t>Utilities</t>
        </is>
      </c>
      <c r="E54" s="33" t="n">
        <v>96</v>
      </c>
      <c r="F54" s="30" t="inlineStr"/>
      <c r="G54" s="34">
        <f>IF(B54="","",DATE(YEAR(B54),MONTH(B54),1))</f>
        <v/>
      </c>
    </row>
    <row r="55">
      <c r="B55" s="32" t="n">
        <v>46301</v>
      </c>
      <c r="C55" s="30" t="inlineStr">
        <is>
          <t>Expense</t>
        </is>
      </c>
      <c r="D55" s="30" t="inlineStr">
        <is>
          <t>Phone &amp; Internet</t>
        </is>
      </c>
      <c r="E55" s="33" t="n">
        <v>65</v>
      </c>
      <c r="F55" s="30" t="inlineStr"/>
      <c r="G55" s="34">
        <f>IF(B55="","",DATE(YEAR(B55),MONTH(B55),1))</f>
        <v/>
      </c>
    </row>
    <row r="56">
      <c r="B56" s="32" t="n">
        <v>46302</v>
      </c>
      <c r="C56" s="30" t="inlineStr">
        <is>
          <t>Expense</t>
        </is>
      </c>
      <c r="D56" s="30" t="inlineStr">
        <is>
          <t>Pets</t>
        </is>
      </c>
      <c r="E56" s="33" t="n">
        <v>58</v>
      </c>
      <c r="F56" s="30" t="inlineStr"/>
      <c r="G56" s="34">
        <f>IF(B56="","",DATE(YEAR(B56),MONTH(B56),1))</f>
        <v/>
      </c>
    </row>
    <row r="57">
      <c r="B57" s="32" t="n">
        <v>46303</v>
      </c>
      <c r="C57" s="30" t="inlineStr">
        <is>
          <t>Expense</t>
        </is>
      </c>
      <c r="D57" s="30" t="inlineStr">
        <is>
          <t>Eating out</t>
        </is>
      </c>
      <c r="E57" s="33" t="n">
        <v>46</v>
      </c>
      <c r="F57" s="30" t="inlineStr"/>
      <c r="G57" s="34">
        <f>IF(B57="","",DATE(YEAR(B57),MONTH(B57),1))</f>
        <v/>
      </c>
    </row>
    <row r="58">
      <c r="B58" s="32" t="n">
        <v>46304</v>
      </c>
      <c r="C58" s="30" t="inlineStr">
        <is>
          <t>Expense</t>
        </is>
      </c>
      <c r="D58" s="30" t="inlineStr">
        <is>
          <t>Insurance</t>
        </is>
      </c>
      <c r="E58" s="33" t="n">
        <v>142</v>
      </c>
      <c r="F58" s="30" t="inlineStr"/>
      <c r="G58" s="34">
        <f>IF(B58="","",DATE(YEAR(B58),MONTH(B58),1))</f>
        <v/>
      </c>
    </row>
    <row r="59">
      <c r="B59" s="32" t="n">
        <v>46305</v>
      </c>
      <c r="C59" s="30" t="inlineStr">
        <is>
          <t>Expense</t>
        </is>
      </c>
      <c r="D59" s="30" t="inlineStr">
        <is>
          <t>Groceries</t>
        </is>
      </c>
      <c r="E59" s="33" t="n">
        <v>84</v>
      </c>
      <c r="F59" s="30" t="inlineStr">
        <is>
          <t>Weekly shop</t>
        </is>
      </c>
      <c r="G59" s="34">
        <f>IF(B59="","",DATE(YEAR(B59),MONTH(B59),1))</f>
        <v/>
      </c>
    </row>
    <row r="60">
      <c r="B60" s="32" t="n">
        <v>46306</v>
      </c>
      <c r="C60" s="30" t="inlineStr">
        <is>
          <t>Expense</t>
        </is>
      </c>
      <c r="D60" s="30" t="inlineStr">
        <is>
          <t>Entertainment</t>
        </is>
      </c>
      <c r="E60" s="33" t="n">
        <v>29</v>
      </c>
      <c r="F60" s="30" t="inlineStr"/>
      <c r="G60" s="34">
        <f>IF(B60="","",DATE(YEAR(B60),MONTH(B60),1))</f>
        <v/>
      </c>
    </row>
    <row r="61">
      <c r="B61" s="32" t="n">
        <v>46306</v>
      </c>
      <c r="C61" s="30" t="inlineStr">
        <is>
          <t>Expense</t>
        </is>
      </c>
      <c r="D61" s="30" t="inlineStr">
        <is>
          <t>Transport</t>
        </is>
      </c>
      <c r="E61" s="33" t="n">
        <v>48</v>
      </c>
      <c r="F61" s="30" t="inlineStr"/>
      <c r="G61" s="34">
        <f>IF(B61="","",DATE(YEAR(B61),MONTH(B61),1))</f>
        <v/>
      </c>
    </row>
    <row r="62">
      <c r="B62" s="32" t="n">
        <v>46307</v>
      </c>
      <c r="C62" s="30" t="inlineStr">
        <is>
          <t>Expense</t>
        </is>
      </c>
      <c r="D62" s="30" t="inlineStr">
        <is>
          <t>Subscriptions</t>
        </is>
      </c>
      <c r="E62" s="33" t="n">
        <v>38</v>
      </c>
      <c r="F62" s="30" t="inlineStr"/>
      <c r="G62" s="34">
        <f>IF(B62="","",DATE(YEAR(B62),MONTH(B62),1))</f>
        <v/>
      </c>
    </row>
    <row r="63">
      <c r="B63" s="32" t="n"/>
      <c r="C63" s="30" t="n"/>
      <c r="D63" s="30" t="n"/>
      <c r="E63" s="33" t="n"/>
      <c r="F63" s="30" t="n"/>
      <c r="G63" s="34">
        <f>IF(B63="","",DATE(YEAR(B63),MONTH(B63),1))</f>
        <v/>
      </c>
    </row>
    <row r="64">
      <c r="B64" s="32" t="n"/>
      <c r="C64" s="30" t="n"/>
      <c r="D64" s="30" t="n"/>
      <c r="E64" s="33" t="n"/>
      <c r="F64" s="30" t="n"/>
      <c r="G64" s="34">
        <f>IF(B64="","",DATE(YEAR(B64),MONTH(B64),1))</f>
        <v/>
      </c>
    </row>
    <row r="65">
      <c r="B65" s="32" t="n"/>
      <c r="C65" s="30" t="n"/>
      <c r="D65" s="30" t="n"/>
      <c r="E65" s="33" t="n"/>
      <c r="F65" s="30" t="n"/>
      <c r="G65" s="34">
        <f>IF(B65="","",DATE(YEAR(B65),MONTH(B65),1))</f>
        <v/>
      </c>
    </row>
    <row r="66">
      <c r="B66" s="32" t="n"/>
      <c r="C66" s="30" t="n"/>
      <c r="D66" s="30" t="n"/>
      <c r="E66" s="33" t="n"/>
      <c r="F66" s="30" t="n"/>
      <c r="G66" s="34">
        <f>IF(B66="","",DATE(YEAR(B66),MONTH(B66),1))</f>
        <v/>
      </c>
    </row>
    <row r="67">
      <c r="B67" s="32" t="n"/>
      <c r="C67" s="30" t="n"/>
      <c r="D67" s="30" t="n"/>
      <c r="E67" s="33" t="n"/>
      <c r="F67" s="30" t="n"/>
      <c r="G67" s="34">
        <f>IF(B67="","",DATE(YEAR(B67),MONTH(B67),1))</f>
        <v/>
      </c>
    </row>
    <row r="68">
      <c r="B68" s="32" t="n"/>
      <c r="C68" s="30" t="n"/>
      <c r="D68" s="30" t="n"/>
      <c r="E68" s="33" t="n"/>
      <c r="F68" s="30" t="n"/>
      <c r="G68" s="34">
        <f>IF(B68="","",DATE(YEAR(B68),MONTH(B68),1))</f>
        <v/>
      </c>
    </row>
    <row r="69">
      <c r="B69" s="32" t="n"/>
      <c r="C69" s="30" t="n"/>
      <c r="D69" s="30" t="n"/>
      <c r="E69" s="33" t="n"/>
      <c r="F69" s="30" t="n"/>
      <c r="G69" s="34">
        <f>IF(B69="","",DATE(YEAR(B69),MONTH(B69),1))</f>
        <v/>
      </c>
    </row>
    <row r="70">
      <c r="B70" s="32" t="n"/>
      <c r="C70" s="30" t="n"/>
      <c r="D70" s="30" t="n"/>
      <c r="E70" s="33" t="n"/>
      <c r="F70" s="30" t="n"/>
      <c r="G70" s="34">
        <f>IF(B70="","",DATE(YEAR(B70),MONTH(B70),1))</f>
        <v/>
      </c>
    </row>
    <row r="71">
      <c r="B71" s="32" t="n"/>
      <c r="C71" s="30" t="n"/>
      <c r="D71" s="30" t="n"/>
      <c r="E71" s="33" t="n"/>
      <c r="F71" s="30" t="n"/>
      <c r="G71" s="34">
        <f>IF(B71="","",DATE(YEAR(B71),MONTH(B71),1))</f>
        <v/>
      </c>
    </row>
    <row r="72">
      <c r="B72" s="32" t="n"/>
      <c r="C72" s="30" t="n"/>
      <c r="D72" s="30" t="n"/>
      <c r="E72" s="33" t="n"/>
      <c r="F72" s="30" t="n"/>
      <c r="G72" s="34">
        <f>IF(B72="","",DATE(YEAR(B72),MONTH(B72),1))</f>
        <v/>
      </c>
    </row>
    <row r="73">
      <c r="B73" s="32" t="n"/>
      <c r="C73" s="30" t="n"/>
      <c r="D73" s="30" t="n"/>
      <c r="E73" s="33" t="n"/>
      <c r="F73" s="30" t="n"/>
      <c r="G73" s="34">
        <f>IF(B73="","",DATE(YEAR(B73),MONTH(B73),1))</f>
        <v/>
      </c>
    </row>
    <row r="74">
      <c r="B74" s="32" t="n"/>
      <c r="C74" s="30" t="n"/>
      <c r="D74" s="30" t="n"/>
      <c r="E74" s="33" t="n"/>
      <c r="F74" s="30" t="n"/>
      <c r="G74" s="34">
        <f>IF(B74="","",DATE(YEAR(B74),MONTH(B74),1))</f>
        <v/>
      </c>
    </row>
    <row r="75">
      <c r="B75" s="32" t="n"/>
      <c r="C75" s="30" t="n"/>
      <c r="D75" s="30" t="n"/>
      <c r="E75" s="33" t="n"/>
      <c r="F75" s="30" t="n"/>
      <c r="G75" s="34">
        <f>IF(B75="","",DATE(YEAR(B75),MONTH(B75),1))</f>
        <v/>
      </c>
    </row>
    <row r="76">
      <c r="B76" s="32" t="n"/>
      <c r="C76" s="30" t="n"/>
      <c r="D76" s="30" t="n"/>
      <c r="E76" s="33" t="n"/>
      <c r="F76" s="30" t="n"/>
      <c r="G76" s="34">
        <f>IF(B76="","",DATE(YEAR(B76),MONTH(B76),1))</f>
        <v/>
      </c>
    </row>
    <row r="77">
      <c r="B77" s="32" t="n"/>
      <c r="C77" s="30" t="n"/>
      <c r="D77" s="30" t="n"/>
      <c r="E77" s="33" t="n"/>
      <c r="F77" s="30" t="n"/>
      <c r="G77" s="34">
        <f>IF(B77="","",DATE(YEAR(B77),MONTH(B77),1))</f>
        <v/>
      </c>
    </row>
    <row r="78">
      <c r="B78" s="32" t="n"/>
      <c r="C78" s="30" t="n"/>
      <c r="D78" s="30" t="n"/>
      <c r="E78" s="33" t="n"/>
      <c r="F78" s="30" t="n"/>
      <c r="G78" s="34">
        <f>IF(B78="","",DATE(YEAR(B78),MONTH(B78),1))</f>
        <v/>
      </c>
    </row>
    <row r="79">
      <c r="B79" s="32" t="n"/>
      <c r="C79" s="30" t="n"/>
      <c r="D79" s="30" t="n"/>
      <c r="E79" s="33" t="n"/>
      <c r="F79" s="30" t="n"/>
      <c r="G79" s="34">
        <f>IF(B79="","",DATE(YEAR(B79),MONTH(B79),1))</f>
        <v/>
      </c>
    </row>
    <row r="80">
      <c r="B80" s="32" t="n"/>
      <c r="C80" s="30" t="n"/>
      <c r="D80" s="30" t="n"/>
      <c r="E80" s="33" t="n"/>
      <c r="F80" s="30" t="n"/>
      <c r="G80" s="34">
        <f>IF(B80="","",DATE(YEAR(B80),MONTH(B80),1))</f>
        <v/>
      </c>
    </row>
    <row r="81">
      <c r="B81" s="32" t="n"/>
      <c r="C81" s="30" t="n"/>
      <c r="D81" s="30" t="n"/>
      <c r="E81" s="33" t="n"/>
      <c r="F81" s="30" t="n"/>
      <c r="G81" s="34">
        <f>IF(B81="","",DATE(YEAR(B81),MONTH(B81),1))</f>
        <v/>
      </c>
    </row>
    <row r="82">
      <c r="B82" s="32" t="n"/>
      <c r="C82" s="30" t="n"/>
      <c r="D82" s="30" t="n"/>
      <c r="E82" s="33" t="n"/>
      <c r="F82" s="30" t="n"/>
      <c r="G82" s="34">
        <f>IF(B82="","",DATE(YEAR(B82),MONTH(B82),1))</f>
        <v/>
      </c>
    </row>
    <row r="83">
      <c r="B83" s="32" t="n"/>
      <c r="C83" s="30" t="n"/>
      <c r="D83" s="30" t="n"/>
      <c r="E83" s="33" t="n"/>
      <c r="F83" s="30" t="n"/>
      <c r="G83" s="34">
        <f>IF(B83="","",DATE(YEAR(B83),MONTH(B83),1))</f>
        <v/>
      </c>
    </row>
    <row r="84">
      <c r="B84" s="32" t="n"/>
      <c r="C84" s="30" t="n"/>
      <c r="D84" s="30" t="n"/>
      <c r="E84" s="33" t="n"/>
      <c r="F84" s="30" t="n"/>
      <c r="G84" s="34">
        <f>IF(B84="","",DATE(YEAR(B84),MONTH(B84),1))</f>
        <v/>
      </c>
    </row>
    <row r="85">
      <c r="B85" s="32" t="n"/>
      <c r="C85" s="30" t="n"/>
      <c r="D85" s="30" t="n"/>
      <c r="E85" s="33" t="n"/>
      <c r="F85" s="30" t="n"/>
      <c r="G85" s="34">
        <f>IF(B85="","",DATE(YEAR(B85),MONTH(B85),1))</f>
        <v/>
      </c>
    </row>
    <row r="86">
      <c r="B86" s="32" t="n"/>
      <c r="C86" s="30" t="n"/>
      <c r="D86" s="30" t="n"/>
      <c r="E86" s="33" t="n"/>
      <c r="F86" s="30" t="n"/>
      <c r="G86" s="34">
        <f>IF(B86="","",DATE(YEAR(B86),MONTH(B86),1))</f>
        <v/>
      </c>
    </row>
    <row r="87">
      <c r="B87" s="32" t="n"/>
      <c r="C87" s="30" t="n"/>
      <c r="D87" s="30" t="n"/>
      <c r="E87" s="33" t="n"/>
      <c r="F87" s="30" t="n"/>
      <c r="G87" s="34">
        <f>IF(B87="","",DATE(YEAR(B87),MONTH(B87),1))</f>
        <v/>
      </c>
    </row>
    <row r="88">
      <c r="B88" s="32" t="n"/>
      <c r="C88" s="30" t="n"/>
      <c r="D88" s="30" t="n"/>
      <c r="E88" s="33" t="n"/>
      <c r="F88" s="30" t="n"/>
      <c r="G88" s="34">
        <f>IF(B88="","",DATE(YEAR(B88),MONTH(B88),1))</f>
        <v/>
      </c>
    </row>
    <row r="89">
      <c r="B89" s="32" t="n"/>
      <c r="C89" s="30" t="n"/>
      <c r="D89" s="30" t="n"/>
      <c r="E89" s="33" t="n"/>
      <c r="F89" s="30" t="n"/>
      <c r="G89" s="34">
        <f>IF(B89="","",DATE(YEAR(B89),MONTH(B89),1))</f>
        <v/>
      </c>
    </row>
    <row r="90">
      <c r="B90" s="32" t="n"/>
      <c r="C90" s="30" t="n"/>
      <c r="D90" s="30" t="n"/>
      <c r="E90" s="33" t="n"/>
      <c r="F90" s="30" t="n"/>
      <c r="G90" s="34">
        <f>IF(B90="","",DATE(YEAR(B90),MONTH(B90),1))</f>
        <v/>
      </c>
    </row>
    <row r="91">
      <c r="B91" s="32" t="n"/>
      <c r="C91" s="30" t="n"/>
      <c r="D91" s="30" t="n"/>
      <c r="E91" s="33" t="n"/>
      <c r="F91" s="30" t="n"/>
      <c r="G91" s="34">
        <f>IF(B91="","",DATE(YEAR(B91),MONTH(B91),1))</f>
        <v/>
      </c>
    </row>
    <row r="92">
      <c r="B92" s="32" t="n"/>
      <c r="C92" s="30" t="n"/>
      <c r="D92" s="30" t="n"/>
      <c r="E92" s="33" t="n"/>
      <c r="F92" s="30" t="n"/>
      <c r="G92" s="34">
        <f>IF(B92="","",DATE(YEAR(B92),MONTH(B92),1))</f>
        <v/>
      </c>
    </row>
    <row r="93">
      <c r="B93" s="32" t="n"/>
      <c r="C93" s="30" t="n"/>
      <c r="D93" s="30" t="n"/>
      <c r="E93" s="33" t="n"/>
      <c r="F93" s="30" t="n"/>
      <c r="G93" s="34">
        <f>IF(B93="","",DATE(YEAR(B93),MONTH(B93),1))</f>
        <v/>
      </c>
    </row>
    <row r="94">
      <c r="B94" s="32" t="n"/>
      <c r="C94" s="30" t="n"/>
      <c r="D94" s="30" t="n"/>
      <c r="E94" s="33" t="n"/>
      <c r="F94" s="30" t="n"/>
      <c r="G94" s="34">
        <f>IF(B94="","",DATE(YEAR(B94),MONTH(B94),1))</f>
        <v/>
      </c>
    </row>
    <row r="95">
      <c r="B95" s="32" t="n"/>
      <c r="C95" s="30" t="n"/>
      <c r="D95" s="30" t="n"/>
      <c r="E95" s="33" t="n"/>
      <c r="F95" s="30" t="n"/>
      <c r="G95" s="34">
        <f>IF(B95="","",DATE(YEAR(B95),MONTH(B95),1))</f>
        <v/>
      </c>
    </row>
    <row r="96">
      <c r="B96" s="32" t="n"/>
      <c r="C96" s="30" t="n"/>
      <c r="D96" s="30" t="n"/>
      <c r="E96" s="33" t="n"/>
      <c r="F96" s="30" t="n"/>
      <c r="G96" s="34">
        <f>IF(B96="","",DATE(YEAR(B96),MONTH(B96),1))</f>
        <v/>
      </c>
    </row>
    <row r="97">
      <c r="B97" s="32" t="n"/>
      <c r="C97" s="30" t="n"/>
      <c r="D97" s="30" t="n"/>
      <c r="E97" s="33" t="n"/>
      <c r="F97" s="30" t="n"/>
      <c r="G97" s="34">
        <f>IF(B97="","",DATE(YEAR(B97),MONTH(B97),1))</f>
        <v/>
      </c>
    </row>
    <row r="98">
      <c r="B98" s="32" t="n"/>
      <c r="C98" s="30" t="n"/>
      <c r="D98" s="30" t="n"/>
      <c r="E98" s="33" t="n"/>
      <c r="F98" s="30" t="n"/>
      <c r="G98" s="34">
        <f>IF(B98="","",DATE(YEAR(B98),MONTH(B98),1))</f>
        <v/>
      </c>
    </row>
    <row r="99">
      <c r="B99" s="32" t="n"/>
      <c r="C99" s="30" t="n"/>
      <c r="D99" s="30" t="n"/>
      <c r="E99" s="33" t="n"/>
      <c r="F99" s="30" t="n"/>
      <c r="G99" s="34">
        <f>IF(B99="","",DATE(YEAR(B99),MONTH(B99),1))</f>
        <v/>
      </c>
    </row>
    <row r="100">
      <c r="B100" s="32" t="n"/>
      <c r="C100" s="30" t="n"/>
      <c r="D100" s="30" t="n"/>
      <c r="E100" s="33" t="n"/>
      <c r="F100" s="30" t="n"/>
      <c r="G100" s="34">
        <f>IF(B100="","",DATE(YEAR(B100),MONTH(B100),1))</f>
        <v/>
      </c>
    </row>
    <row r="101">
      <c r="B101" s="32" t="n"/>
      <c r="C101" s="30" t="n"/>
      <c r="D101" s="30" t="n"/>
      <c r="E101" s="33" t="n"/>
      <c r="F101" s="30" t="n"/>
      <c r="G101" s="34">
        <f>IF(B101="","",DATE(YEAR(B101),MONTH(B101),1))</f>
        <v/>
      </c>
    </row>
    <row r="102">
      <c r="B102" s="32" t="n"/>
      <c r="C102" s="30" t="n"/>
      <c r="D102" s="30" t="n"/>
      <c r="E102" s="33" t="n"/>
      <c r="F102" s="30" t="n"/>
      <c r="G102" s="34">
        <f>IF(B102="","",DATE(YEAR(B102),MONTH(B102),1))</f>
        <v/>
      </c>
    </row>
    <row r="103">
      <c r="B103" s="32" t="n"/>
      <c r="C103" s="30" t="n"/>
      <c r="D103" s="30" t="n"/>
      <c r="E103" s="33" t="n"/>
      <c r="F103" s="30" t="n"/>
      <c r="G103" s="34">
        <f>IF(B103="","",DATE(YEAR(B103),MONTH(B103),1))</f>
        <v/>
      </c>
    </row>
    <row r="104">
      <c r="B104" s="32" t="n"/>
      <c r="C104" s="30" t="n"/>
      <c r="D104" s="30" t="n"/>
      <c r="E104" s="33" t="n"/>
      <c r="F104" s="30" t="n"/>
      <c r="G104" s="34">
        <f>IF(B104="","",DATE(YEAR(B104),MONTH(B104),1))</f>
        <v/>
      </c>
    </row>
    <row r="105">
      <c r="B105" s="32" t="n"/>
      <c r="C105" s="30" t="n"/>
      <c r="D105" s="30" t="n"/>
      <c r="E105" s="33" t="n"/>
      <c r="F105" s="30" t="n"/>
      <c r="G105" s="34">
        <f>IF(B105="","",DATE(YEAR(B105),MONTH(B105),1))</f>
        <v/>
      </c>
    </row>
    <row r="106">
      <c r="B106" s="32" t="n"/>
      <c r="C106" s="30" t="n"/>
      <c r="D106" s="30" t="n"/>
      <c r="E106" s="33" t="n"/>
      <c r="F106" s="30" t="n"/>
      <c r="G106" s="34">
        <f>IF(B106="","",DATE(YEAR(B106),MONTH(B106),1))</f>
        <v/>
      </c>
    </row>
    <row r="107">
      <c r="B107" s="32" t="n"/>
      <c r="C107" s="30" t="n"/>
      <c r="D107" s="30" t="n"/>
      <c r="E107" s="33" t="n"/>
      <c r="F107" s="30" t="n"/>
      <c r="G107" s="34">
        <f>IF(B107="","",DATE(YEAR(B107),MONTH(B107),1))</f>
        <v/>
      </c>
    </row>
    <row r="108">
      <c r="B108" s="32" t="n"/>
      <c r="C108" s="30" t="n"/>
      <c r="D108" s="30" t="n"/>
      <c r="E108" s="33" t="n"/>
      <c r="F108" s="30" t="n"/>
      <c r="G108" s="34">
        <f>IF(B108="","",DATE(YEAR(B108),MONTH(B108),1))</f>
        <v/>
      </c>
    </row>
    <row r="109">
      <c r="B109" s="32" t="n"/>
      <c r="C109" s="30" t="n"/>
      <c r="D109" s="30" t="n"/>
      <c r="E109" s="33" t="n"/>
      <c r="F109" s="30" t="n"/>
      <c r="G109" s="34">
        <f>IF(B109="","",DATE(YEAR(B109),MONTH(B109),1))</f>
        <v/>
      </c>
    </row>
    <row r="110">
      <c r="B110" s="32" t="n"/>
      <c r="C110" s="30" t="n"/>
      <c r="D110" s="30" t="n"/>
      <c r="E110" s="33" t="n"/>
      <c r="F110" s="30" t="n"/>
      <c r="G110" s="34">
        <f>IF(B110="","",DATE(YEAR(B110),MONTH(B110),1))</f>
        <v/>
      </c>
    </row>
    <row r="111">
      <c r="B111" s="32" t="n"/>
      <c r="C111" s="30" t="n"/>
      <c r="D111" s="30" t="n"/>
      <c r="E111" s="33" t="n"/>
      <c r="F111" s="30" t="n"/>
      <c r="G111" s="34">
        <f>IF(B111="","",DATE(YEAR(B111),MONTH(B111),1))</f>
        <v/>
      </c>
    </row>
    <row r="112">
      <c r="B112" s="32" t="n"/>
      <c r="C112" s="30" t="n"/>
      <c r="D112" s="30" t="n"/>
      <c r="E112" s="33" t="n"/>
      <c r="F112" s="30" t="n"/>
      <c r="G112" s="34">
        <f>IF(B112="","",DATE(YEAR(B112),MONTH(B112),1))</f>
        <v/>
      </c>
    </row>
    <row r="113">
      <c r="B113" s="32" t="n"/>
      <c r="C113" s="30" t="n"/>
      <c r="D113" s="30" t="n"/>
      <c r="E113" s="33" t="n"/>
      <c r="F113" s="30" t="n"/>
      <c r="G113" s="34">
        <f>IF(B113="","",DATE(YEAR(B113),MONTH(B113),1))</f>
        <v/>
      </c>
    </row>
    <row r="114">
      <c r="B114" s="32" t="n"/>
      <c r="C114" s="30" t="n"/>
      <c r="D114" s="30" t="n"/>
      <c r="E114" s="33" t="n"/>
      <c r="F114" s="30" t="n"/>
      <c r="G114" s="34">
        <f>IF(B114="","",DATE(YEAR(B114),MONTH(B114),1))</f>
        <v/>
      </c>
    </row>
    <row r="115">
      <c r="B115" s="32" t="n"/>
      <c r="C115" s="30" t="n"/>
      <c r="D115" s="30" t="n"/>
      <c r="E115" s="33" t="n"/>
      <c r="F115" s="30" t="n"/>
      <c r="G115" s="34">
        <f>IF(B115="","",DATE(YEAR(B115),MONTH(B115),1))</f>
        <v/>
      </c>
    </row>
    <row r="116">
      <c r="B116" s="32" t="n"/>
      <c r="C116" s="30" t="n"/>
      <c r="D116" s="30" t="n"/>
      <c r="E116" s="33" t="n"/>
      <c r="F116" s="30" t="n"/>
      <c r="G116" s="34">
        <f>IF(B116="","",DATE(YEAR(B116),MONTH(B116),1))</f>
        <v/>
      </c>
    </row>
    <row r="117">
      <c r="B117" s="32" t="n"/>
      <c r="C117" s="30" t="n"/>
      <c r="D117" s="30" t="n"/>
      <c r="E117" s="33" t="n"/>
      <c r="F117" s="30" t="n"/>
      <c r="G117" s="34">
        <f>IF(B117="","",DATE(YEAR(B117),MONTH(B117),1))</f>
        <v/>
      </c>
    </row>
    <row r="118">
      <c r="B118" s="32" t="n"/>
      <c r="C118" s="30" t="n"/>
      <c r="D118" s="30" t="n"/>
      <c r="E118" s="33" t="n"/>
      <c r="F118" s="30" t="n"/>
      <c r="G118" s="34">
        <f>IF(B118="","",DATE(YEAR(B118),MONTH(B118),1))</f>
        <v/>
      </c>
    </row>
    <row r="119">
      <c r="B119" s="32" t="n"/>
      <c r="C119" s="30" t="n"/>
      <c r="D119" s="30" t="n"/>
      <c r="E119" s="33" t="n"/>
      <c r="F119" s="30" t="n"/>
      <c r="G119" s="34">
        <f>IF(B119="","",DATE(YEAR(B119),MONTH(B119),1))</f>
        <v/>
      </c>
    </row>
    <row r="120">
      <c r="B120" s="32" t="n"/>
      <c r="C120" s="30" t="n"/>
      <c r="D120" s="30" t="n"/>
      <c r="E120" s="33" t="n"/>
      <c r="F120" s="30" t="n"/>
      <c r="G120" s="34">
        <f>IF(B120="","",DATE(YEAR(B120),MONTH(B120),1))</f>
        <v/>
      </c>
    </row>
    <row r="121">
      <c r="B121" s="32" t="n"/>
      <c r="C121" s="30" t="n"/>
      <c r="D121" s="30" t="n"/>
      <c r="E121" s="33" t="n"/>
      <c r="F121" s="30" t="n"/>
      <c r="G121" s="34">
        <f>IF(B121="","",DATE(YEAR(B121),MONTH(B121),1))</f>
        <v/>
      </c>
    </row>
    <row r="122">
      <c r="B122" s="32" t="n"/>
      <c r="C122" s="30" t="n"/>
      <c r="D122" s="30" t="n"/>
      <c r="E122" s="33" t="n"/>
      <c r="F122" s="30" t="n"/>
      <c r="G122" s="34">
        <f>IF(B122="","",DATE(YEAR(B122),MONTH(B122),1))</f>
        <v/>
      </c>
    </row>
    <row r="123">
      <c r="B123" s="32" t="n"/>
      <c r="C123" s="30" t="n"/>
      <c r="D123" s="30" t="n"/>
      <c r="E123" s="33" t="n"/>
      <c r="F123" s="30" t="n"/>
      <c r="G123" s="34">
        <f>IF(B123="","",DATE(YEAR(B123),MONTH(B123),1))</f>
        <v/>
      </c>
    </row>
    <row r="124">
      <c r="B124" s="32" t="n"/>
      <c r="C124" s="30" t="n"/>
      <c r="D124" s="30" t="n"/>
      <c r="E124" s="33" t="n"/>
      <c r="F124" s="30" t="n"/>
      <c r="G124" s="34">
        <f>IF(B124="","",DATE(YEAR(B124),MONTH(B124),1))</f>
        <v/>
      </c>
    </row>
    <row r="125">
      <c r="B125" s="32" t="n"/>
      <c r="C125" s="30" t="n"/>
      <c r="D125" s="30" t="n"/>
      <c r="E125" s="33" t="n"/>
      <c r="F125" s="30" t="n"/>
      <c r="G125" s="34">
        <f>IF(B125="","",DATE(YEAR(B125),MONTH(B125),1))</f>
        <v/>
      </c>
    </row>
    <row r="126">
      <c r="B126" s="32" t="n"/>
      <c r="C126" s="30" t="n"/>
      <c r="D126" s="30" t="n"/>
      <c r="E126" s="33" t="n"/>
      <c r="F126" s="30" t="n"/>
      <c r="G126" s="34">
        <f>IF(B126="","",DATE(YEAR(B126),MONTH(B126),1))</f>
        <v/>
      </c>
    </row>
    <row r="127">
      <c r="B127" s="32" t="n"/>
      <c r="C127" s="30" t="n"/>
      <c r="D127" s="30" t="n"/>
      <c r="E127" s="33" t="n"/>
      <c r="F127" s="30" t="n"/>
      <c r="G127" s="34">
        <f>IF(B127="","",DATE(YEAR(B127),MONTH(B127),1))</f>
        <v/>
      </c>
    </row>
    <row r="128">
      <c r="B128" s="32" t="n"/>
      <c r="C128" s="30" t="n"/>
      <c r="D128" s="30" t="n"/>
      <c r="E128" s="33" t="n"/>
      <c r="F128" s="30" t="n"/>
      <c r="G128" s="34">
        <f>IF(B128="","",DATE(YEAR(B128),MONTH(B128),1))</f>
        <v/>
      </c>
    </row>
    <row r="129">
      <c r="B129" s="32" t="n"/>
      <c r="C129" s="30" t="n"/>
      <c r="D129" s="30" t="n"/>
      <c r="E129" s="33" t="n"/>
      <c r="F129" s="30" t="n"/>
      <c r="G129" s="34">
        <f>IF(B129="","",DATE(YEAR(B129),MONTH(B129),1))</f>
        <v/>
      </c>
    </row>
    <row r="130">
      <c r="B130" s="32" t="n"/>
      <c r="C130" s="30" t="n"/>
      <c r="D130" s="30" t="n"/>
      <c r="E130" s="33" t="n"/>
      <c r="F130" s="30" t="n"/>
      <c r="G130" s="34">
        <f>IF(B130="","",DATE(YEAR(B130),MONTH(B130),1))</f>
        <v/>
      </c>
    </row>
    <row r="131">
      <c r="B131" s="32" t="n"/>
      <c r="C131" s="30" t="n"/>
      <c r="D131" s="30" t="n"/>
      <c r="E131" s="33" t="n"/>
      <c r="F131" s="30" t="n"/>
      <c r="G131" s="34">
        <f>IF(B131="","",DATE(YEAR(B131),MONTH(B131),1))</f>
        <v/>
      </c>
    </row>
    <row r="132">
      <c r="B132" s="32" t="n"/>
      <c r="C132" s="30" t="n"/>
      <c r="D132" s="30" t="n"/>
      <c r="E132" s="33" t="n"/>
      <c r="F132" s="30" t="n"/>
      <c r="G132" s="34">
        <f>IF(B132="","",DATE(YEAR(B132),MONTH(B132),1))</f>
        <v/>
      </c>
    </row>
    <row r="133">
      <c r="B133" s="32" t="n"/>
      <c r="C133" s="30" t="n"/>
      <c r="D133" s="30" t="n"/>
      <c r="E133" s="33" t="n"/>
      <c r="F133" s="30" t="n"/>
      <c r="G133" s="34">
        <f>IF(B133="","",DATE(YEAR(B133),MONTH(B133),1))</f>
        <v/>
      </c>
    </row>
    <row r="134">
      <c r="B134" s="32" t="n"/>
      <c r="C134" s="30" t="n"/>
      <c r="D134" s="30" t="n"/>
      <c r="E134" s="33" t="n"/>
      <c r="F134" s="30" t="n"/>
      <c r="G134" s="34">
        <f>IF(B134="","",DATE(YEAR(B134),MONTH(B134),1))</f>
        <v/>
      </c>
    </row>
    <row r="135">
      <c r="B135" s="32" t="n"/>
      <c r="C135" s="30" t="n"/>
      <c r="D135" s="30" t="n"/>
      <c r="E135" s="33" t="n"/>
      <c r="F135" s="30" t="n"/>
      <c r="G135" s="34">
        <f>IF(B135="","",DATE(YEAR(B135),MONTH(B135),1))</f>
        <v/>
      </c>
    </row>
    <row r="136">
      <c r="B136" s="32" t="n"/>
      <c r="C136" s="30" t="n"/>
      <c r="D136" s="30" t="n"/>
      <c r="E136" s="33" t="n"/>
      <c r="F136" s="30" t="n"/>
      <c r="G136" s="34">
        <f>IF(B136="","",DATE(YEAR(B136),MONTH(B136),1))</f>
        <v/>
      </c>
    </row>
    <row r="137">
      <c r="B137" s="32" t="n"/>
      <c r="C137" s="30" t="n"/>
      <c r="D137" s="30" t="n"/>
      <c r="E137" s="33" t="n"/>
      <c r="F137" s="30" t="n"/>
      <c r="G137" s="34">
        <f>IF(B137="","",DATE(YEAR(B137),MONTH(B137),1))</f>
        <v/>
      </c>
    </row>
    <row r="138">
      <c r="B138" s="32" t="n"/>
      <c r="C138" s="30" t="n"/>
      <c r="D138" s="30" t="n"/>
      <c r="E138" s="33" t="n"/>
      <c r="F138" s="30" t="n"/>
      <c r="G138" s="34">
        <f>IF(B138="","",DATE(YEAR(B138),MONTH(B138),1))</f>
        <v/>
      </c>
    </row>
    <row r="139">
      <c r="B139" s="32" t="n"/>
      <c r="C139" s="30" t="n"/>
      <c r="D139" s="30" t="n"/>
      <c r="E139" s="33" t="n"/>
      <c r="F139" s="30" t="n"/>
      <c r="G139" s="34">
        <f>IF(B139="","",DATE(YEAR(B139),MONTH(B139),1))</f>
        <v/>
      </c>
    </row>
    <row r="140">
      <c r="B140" s="32" t="n"/>
      <c r="C140" s="30" t="n"/>
      <c r="D140" s="30" t="n"/>
      <c r="E140" s="33" t="n"/>
      <c r="F140" s="30" t="n"/>
      <c r="G140" s="34">
        <f>IF(B140="","",DATE(YEAR(B140),MONTH(B140),1))</f>
        <v/>
      </c>
    </row>
    <row r="141">
      <c r="B141" s="32" t="n"/>
      <c r="C141" s="30" t="n"/>
      <c r="D141" s="30" t="n"/>
      <c r="E141" s="33" t="n"/>
      <c r="F141" s="30" t="n"/>
      <c r="G141" s="34">
        <f>IF(B141="","",DATE(YEAR(B141),MONTH(B141),1))</f>
        <v/>
      </c>
    </row>
    <row r="142">
      <c r="B142" s="32" t="n"/>
      <c r="C142" s="30" t="n"/>
      <c r="D142" s="30" t="n"/>
      <c r="E142" s="33" t="n"/>
      <c r="F142" s="30" t="n"/>
      <c r="G142" s="34">
        <f>IF(B142="","",DATE(YEAR(B142),MONTH(B142),1))</f>
        <v/>
      </c>
    </row>
    <row r="143">
      <c r="B143" s="32" t="n"/>
      <c r="C143" s="30" t="n"/>
      <c r="D143" s="30" t="n"/>
      <c r="E143" s="33" t="n"/>
      <c r="F143" s="30" t="n"/>
      <c r="G143" s="34">
        <f>IF(B143="","",DATE(YEAR(B143),MONTH(B143),1))</f>
        <v/>
      </c>
    </row>
    <row r="144">
      <c r="B144" s="32" t="n"/>
      <c r="C144" s="30" t="n"/>
      <c r="D144" s="30" t="n"/>
      <c r="E144" s="33" t="n"/>
      <c r="F144" s="30" t="n"/>
      <c r="G144" s="34">
        <f>IF(B144="","",DATE(YEAR(B144),MONTH(B144),1))</f>
        <v/>
      </c>
    </row>
    <row r="145">
      <c r="B145" s="32" t="n"/>
      <c r="C145" s="30" t="n"/>
      <c r="D145" s="30" t="n"/>
      <c r="E145" s="33" t="n"/>
      <c r="F145" s="30" t="n"/>
      <c r="G145" s="34">
        <f>IF(B145="","",DATE(YEAR(B145),MONTH(B145),1))</f>
        <v/>
      </c>
    </row>
    <row r="146">
      <c r="B146" s="32" t="n"/>
      <c r="C146" s="30" t="n"/>
      <c r="D146" s="30" t="n"/>
      <c r="E146" s="33" t="n"/>
      <c r="F146" s="30" t="n"/>
      <c r="G146" s="34">
        <f>IF(B146="","",DATE(YEAR(B146),MONTH(B146),1))</f>
        <v/>
      </c>
    </row>
    <row r="147">
      <c r="B147" s="32" t="n"/>
      <c r="C147" s="30" t="n"/>
      <c r="D147" s="30" t="n"/>
      <c r="E147" s="33" t="n"/>
      <c r="F147" s="30" t="n"/>
      <c r="G147" s="34">
        <f>IF(B147="","",DATE(YEAR(B147),MONTH(B147),1))</f>
        <v/>
      </c>
    </row>
    <row r="148">
      <c r="B148" s="32" t="n"/>
      <c r="C148" s="30" t="n"/>
      <c r="D148" s="30" t="n"/>
      <c r="E148" s="33" t="n"/>
      <c r="F148" s="30" t="n"/>
      <c r="G148" s="34">
        <f>IF(B148="","",DATE(YEAR(B148),MONTH(B148),1))</f>
        <v/>
      </c>
    </row>
    <row r="149">
      <c r="B149" s="32" t="n"/>
      <c r="C149" s="30" t="n"/>
      <c r="D149" s="30" t="n"/>
      <c r="E149" s="33" t="n"/>
      <c r="F149" s="30" t="n"/>
      <c r="G149" s="34">
        <f>IF(B149="","",DATE(YEAR(B149),MONTH(B149),1))</f>
        <v/>
      </c>
    </row>
    <row r="150">
      <c r="B150" s="32" t="n"/>
      <c r="C150" s="30" t="n"/>
      <c r="D150" s="30" t="n"/>
      <c r="E150" s="33" t="n"/>
      <c r="F150" s="30" t="n"/>
      <c r="G150" s="34">
        <f>IF(B150="","",DATE(YEAR(B150),MONTH(B150),1))</f>
        <v/>
      </c>
    </row>
    <row r="151">
      <c r="B151" s="32" t="n"/>
      <c r="C151" s="30" t="n"/>
      <c r="D151" s="30" t="n"/>
      <c r="E151" s="33" t="n"/>
      <c r="F151" s="30" t="n"/>
      <c r="G151" s="34">
        <f>IF(B151="","",DATE(YEAR(B151),MONTH(B151),1))</f>
        <v/>
      </c>
    </row>
    <row r="152">
      <c r="B152" s="32" t="n"/>
      <c r="C152" s="30" t="n"/>
      <c r="D152" s="30" t="n"/>
      <c r="E152" s="33" t="n"/>
      <c r="F152" s="30" t="n"/>
      <c r="G152" s="34">
        <f>IF(B152="","",DATE(YEAR(B152),MONTH(B152),1))</f>
        <v/>
      </c>
    </row>
    <row r="153">
      <c r="B153" s="32" t="n"/>
      <c r="C153" s="30" t="n"/>
      <c r="D153" s="30" t="n"/>
      <c r="E153" s="33" t="n"/>
      <c r="F153" s="30" t="n"/>
      <c r="G153" s="34">
        <f>IF(B153="","",DATE(YEAR(B153),MONTH(B153),1))</f>
        <v/>
      </c>
    </row>
    <row r="154">
      <c r="B154" s="32" t="n"/>
      <c r="C154" s="30" t="n"/>
      <c r="D154" s="30" t="n"/>
      <c r="E154" s="33" t="n"/>
      <c r="F154" s="30" t="n"/>
      <c r="G154" s="34">
        <f>IF(B154="","",DATE(YEAR(B154),MONTH(B154),1))</f>
        <v/>
      </c>
    </row>
    <row r="155">
      <c r="B155" s="32" t="n"/>
      <c r="C155" s="30" t="n"/>
      <c r="D155" s="30" t="n"/>
      <c r="E155" s="33" t="n"/>
      <c r="F155" s="30" t="n"/>
      <c r="G155" s="34">
        <f>IF(B155="","",DATE(YEAR(B155),MONTH(B155),1))</f>
        <v/>
      </c>
    </row>
    <row r="156">
      <c r="B156" s="32" t="n"/>
      <c r="C156" s="30" t="n"/>
      <c r="D156" s="30" t="n"/>
      <c r="E156" s="33" t="n"/>
      <c r="F156" s="30" t="n"/>
      <c r="G156" s="34">
        <f>IF(B156="","",DATE(YEAR(B156),MONTH(B156),1))</f>
        <v/>
      </c>
    </row>
    <row r="157">
      <c r="B157" s="32" t="n"/>
      <c r="C157" s="30" t="n"/>
      <c r="D157" s="30" t="n"/>
      <c r="E157" s="33" t="n"/>
      <c r="F157" s="30" t="n"/>
      <c r="G157" s="34">
        <f>IF(B157="","",DATE(YEAR(B157),MONTH(B157),1))</f>
        <v/>
      </c>
    </row>
    <row r="158">
      <c r="B158" s="32" t="n"/>
      <c r="C158" s="30" t="n"/>
      <c r="D158" s="30" t="n"/>
      <c r="E158" s="33" t="n"/>
      <c r="F158" s="30" t="n"/>
      <c r="G158" s="34">
        <f>IF(B158="","",DATE(YEAR(B158),MONTH(B158),1))</f>
        <v/>
      </c>
    </row>
    <row r="159">
      <c r="B159" s="32" t="n"/>
      <c r="C159" s="30" t="n"/>
      <c r="D159" s="30" t="n"/>
      <c r="E159" s="33" t="n"/>
      <c r="F159" s="30" t="n"/>
      <c r="G159" s="34">
        <f>IF(B159="","",DATE(YEAR(B159),MONTH(B159),1))</f>
        <v/>
      </c>
    </row>
    <row r="160">
      <c r="B160" s="32" t="n"/>
      <c r="C160" s="30" t="n"/>
      <c r="D160" s="30" t="n"/>
      <c r="E160" s="33" t="n"/>
      <c r="F160" s="30" t="n"/>
      <c r="G160" s="34">
        <f>IF(B160="","",DATE(YEAR(B160),MONTH(B160),1))</f>
        <v/>
      </c>
    </row>
    <row r="161">
      <c r="B161" s="32" t="n"/>
      <c r="C161" s="30" t="n"/>
      <c r="D161" s="30" t="n"/>
      <c r="E161" s="33" t="n"/>
      <c r="F161" s="30" t="n"/>
      <c r="G161" s="34">
        <f>IF(B161="","",DATE(YEAR(B161),MONTH(B161),1))</f>
        <v/>
      </c>
    </row>
    <row r="162">
      <c r="B162" s="32" t="n"/>
      <c r="C162" s="30" t="n"/>
      <c r="D162" s="30" t="n"/>
      <c r="E162" s="33" t="n"/>
      <c r="F162" s="30" t="n"/>
      <c r="G162" s="34">
        <f>IF(B162="","",DATE(YEAR(B162),MONTH(B162),1))</f>
        <v/>
      </c>
    </row>
    <row r="163">
      <c r="B163" s="32" t="n"/>
      <c r="C163" s="30" t="n"/>
      <c r="D163" s="30" t="n"/>
      <c r="E163" s="33" t="n"/>
      <c r="F163" s="30" t="n"/>
      <c r="G163" s="34">
        <f>IF(B163="","",DATE(YEAR(B163),MONTH(B163),1))</f>
        <v/>
      </c>
    </row>
    <row r="164">
      <c r="B164" s="32" t="n"/>
      <c r="C164" s="30" t="n"/>
      <c r="D164" s="30" t="n"/>
      <c r="E164" s="33" t="n"/>
      <c r="F164" s="30" t="n"/>
      <c r="G164" s="34">
        <f>IF(B164="","",DATE(YEAR(B164),MONTH(B164),1))</f>
        <v/>
      </c>
    </row>
    <row r="165">
      <c r="B165" s="32" t="n"/>
      <c r="C165" s="30" t="n"/>
      <c r="D165" s="30" t="n"/>
      <c r="E165" s="33" t="n"/>
      <c r="F165" s="30" t="n"/>
      <c r="G165" s="34">
        <f>IF(B165="","",DATE(YEAR(B165),MONTH(B165),1))</f>
        <v/>
      </c>
    </row>
    <row r="166">
      <c r="B166" s="32" t="n"/>
      <c r="C166" s="30" t="n"/>
      <c r="D166" s="30" t="n"/>
      <c r="E166" s="33" t="n"/>
      <c r="F166" s="30" t="n"/>
      <c r="G166" s="34">
        <f>IF(B166="","",DATE(YEAR(B166),MONTH(B166),1))</f>
        <v/>
      </c>
    </row>
    <row r="167">
      <c r="B167" s="32" t="n"/>
      <c r="C167" s="30" t="n"/>
      <c r="D167" s="30" t="n"/>
      <c r="E167" s="33" t="n"/>
      <c r="F167" s="30" t="n"/>
      <c r="G167" s="34">
        <f>IF(B167="","",DATE(YEAR(B167),MONTH(B167),1))</f>
        <v/>
      </c>
    </row>
    <row r="168">
      <c r="B168" s="32" t="n"/>
      <c r="C168" s="30" t="n"/>
      <c r="D168" s="30" t="n"/>
      <c r="E168" s="33" t="n"/>
      <c r="F168" s="30" t="n"/>
      <c r="G168" s="34">
        <f>IF(B168="","",DATE(YEAR(B168),MONTH(B168),1))</f>
        <v/>
      </c>
    </row>
    <row r="169">
      <c r="B169" s="32" t="n"/>
      <c r="C169" s="30" t="n"/>
      <c r="D169" s="30" t="n"/>
      <c r="E169" s="33" t="n"/>
      <c r="F169" s="30" t="n"/>
      <c r="G169" s="34">
        <f>IF(B169="","",DATE(YEAR(B169),MONTH(B169),1))</f>
        <v/>
      </c>
    </row>
    <row r="170">
      <c r="B170" s="32" t="n"/>
      <c r="C170" s="30" t="n"/>
      <c r="D170" s="30" t="n"/>
      <c r="E170" s="33" t="n"/>
      <c r="F170" s="30" t="n"/>
      <c r="G170" s="34">
        <f>IF(B170="","",DATE(YEAR(B170),MONTH(B170),1))</f>
        <v/>
      </c>
    </row>
    <row r="171">
      <c r="B171" s="32" t="n"/>
      <c r="C171" s="30" t="n"/>
      <c r="D171" s="30" t="n"/>
      <c r="E171" s="33" t="n"/>
      <c r="F171" s="30" t="n"/>
      <c r="G171" s="34">
        <f>IF(B171="","",DATE(YEAR(B171),MONTH(B171),1))</f>
        <v/>
      </c>
    </row>
    <row r="172">
      <c r="B172" s="32" t="n"/>
      <c r="C172" s="30" t="n"/>
      <c r="D172" s="30" t="n"/>
      <c r="E172" s="33" t="n"/>
      <c r="F172" s="30" t="n"/>
      <c r="G172" s="34">
        <f>IF(B172="","",DATE(YEAR(B172),MONTH(B172),1))</f>
        <v/>
      </c>
    </row>
    <row r="173">
      <c r="B173" s="32" t="n"/>
      <c r="C173" s="30" t="n"/>
      <c r="D173" s="30" t="n"/>
      <c r="E173" s="33" t="n"/>
      <c r="F173" s="30" t="n"/>
      <c r="G173" s="34">
        <f>IF(B173="","",DATE(YEAR(B173),MONTH(B173),1))</f>
        <v/>
      </c>
    </row>
    <row r="174">
      <c r="B174" s="32" t="n"/>
      <c r="C174" s="30" t="n"/>
      <c r="D174" s="30" t="n"/>
      <c r="E174" s="33" t="n"/>
      <c r="F174" s="30" t="n"/>
      <c r="G174" s="34">
        <f>IF(B174="","",DATE(YEAR(B174),MONTH(B174),1))</f>
        <v/>
      </c>
    </row>
    <row r="175">
      <c r="B175" s="32" t="n"/>
      <c r="C175" s="30" t="n"/>
      <c r="D175" s="30" t="n"/>
      <c r="E175" s="33" t="n"/>
      <c r="F175" s="30" t="n"/>
      <c r="G175" s="34">
        <f>IF(B175="","",DATE(YEAR(B175),MONTH(B175),1))</f>
        <v/>
      </c>
    </row>
    <row r="176">
      <c r="B176" s="32" t="n"/>
      <c r="C176" s="30" t="n"/>
      <c r="D176" s="30" t="n"/>
      <c r="E176" s="33" t="n"/>
      <c r="F176" s="30" t="n"/>
      <c r="G176" s="34">
        <f>IF(B176="","",DATE(YEAR(B176),MONTH(B176),1))</f>
        <v/>
      </c>
    </row>
    <row r="177">
      <c r="B177" s="32" t="n"/>
      <c r="C177" s="30" t="n"/>
      <c r="D177" s="30" t="n"/>
      <c r="E177" s="33" t="n"/>
      <c r="F177" s="30" t="n"/>
      <c r="G177" s="34">
        <f>IF(B177="","",DATE(YEAR(B177),MONTH(B177),1))</f>
        <v/>
      </c>
    </row>
    <row r="178">
      <c r="B178" s="32" t="n"/>
      <c r="C178" s="30" t="n"/>
      <c r="D178" s="30" t="n"/>
      <c r="E178" s="33" t="n"/>
      <c r="F178" s="30" t="n"/>
      <c r="G178" s="34">
        <f>IF(B178="","",DATE(YEAR(B178),MONTH(B178),1))</f>
        <v/>
      </c>
    </row>
    <row r="179">
      <c r="B179" s="32" t="n"/>
      <c r="C179" s="30" t="n"/>
      <c r="D179" s="30" t="n"/>
      <c r="E179" s="33" t="n"/>
      <c r="F179" s="30" t="n"/>
      <c r="G179" s="34">
        <f>IF(B179="","",DATE(YEAR(B179),MONTH(B179),1))</f>
        <v/>
      </c>
    </row>
    <row r="180">
      <c r="B180" s="32" t="n"/>
      <c r="C180" s="30" t="n"/>
      <c r="D180" s="30" t="n"/>
      <c r="E180" s="33" t="n"/>
      <c r="F180" s="30" t="n"/>
      <c r="G180" s="34">
        <f>IF(B180="","",DATE(YEAR(B180),MONTH(B180),1))</f>
        <v/>
      </c>
    </row>
    <row r="181">
      <c r="B181" s="32" t="n"/>
      <c r="C181" s="30" t="n"/>
      <c r="D181" s="30" t="n"/>
      <c r="E181" s="33" t="n"/>
      <c r="F181" s="30" t="n"/>
      <c r="G181" s="34">
        <f>IF(B181="","",DATE(YEAR(B181),MONTH(B181),1))</f>
        <v/>
      </c>
    </row>
    <row r="182">
      <c r="B182" s="32" t="n"/>
      <c r="C182" s="30" t="n"/>
      <c r="D182" s="30" t="n"/>
      <c r="E182" s="33" t="n"/>
      <c r="F182" s="30" t="n"/>
      <c r="G182" s="34">
        <f>IF(B182="","",DATE(YEAR(B182),MONTH(B182),1))</f>
        <v/>
      </c>
    </row>
    <row r="183">
      <c r="B183" s="32" t="n"/>
      <c r="C183" s="30" t="n"/>
      <c r="D183" s="30" t="n"/>
      <c r="E183" s="33" t="n"/>
      <c r="F183" s="30" t="n"/>
      <c r="G183" s="34">
        <f>IF(B183="","",DATE(YEAR(B183),MONTH(B183),1))</f>
        <v/>
      </c>
    </row>
    <row r="184">
      <c r="B184" s="32" t="n"/>
      <c r="C184" s="30" t="n"/>
      <c r="D184" s="30" t="n"/>
      <c r="E184" s="33" t="n"/>
      <c r="F184" s="30" t="n"/>
      <c r="G184" s="34">
        <f>IF(B184="","",DATE(YEAR(B184),MONTH(B184),1))</f>
        <v/>
      </c>
    </row>
    <row r="185">
      <c r="B185" s="32" t="n"/>
      <c r="C185" s="30" t="n"/>
      <c r="D185" s="30" t="n"/>
      <c r="E185" s="33" t="n"/>
      <c r="F185" s="30" t="n"/>
      <c r="G185" s="34">
        <f>IF(B185="","",DATE(YEAR(B185),MONTH(B185),1))</f>
        <v/>
      </c>
    </row>
    <row r="186">
      <c r="B186" s="32" t="n"/>
      <c r="C186" s="30" t="n"/>
      <c r="D186" s="30" t="n"/>
      <c r="E186" s="33" t="n"/>
      <c r="F186" s="30" t="n"/>
      <c r="G186" s="34">
        <f>IF(B186="","",DATE(YEAR(B186),MONTH(B186),1))</f>
        <v/>
      </c>
    </row>
    <row r="187">
      <c r="B187" s="32" t="n"/>
      <c r="C187" s="30" t="n"/>
      <c r="D187" s="30" t="n"/>
      <c r="E187" s="33" t="n"/>
      <c r="F187" s="30" t="n"/>
      <c r="G187" s="34">
        <f>IF(B187="","",DATE(YEAR(B187),MONTH(B187),1))</f>
        <v/>
      </c>
    </row>
    <row r="188">
      <c r="B188" s="32" t="n"/>
      <c r="C188" s="30" t="n"/>
      <c r="D188" s="30" t="n"/>
      <c r="E188" s="33" t="n"/>
      <c r="F188" s="30" t="n"/>
      <c r="G188" s="34">
        <f>IF(B188="","",DATE(YEAR(B188),MONTH(B188),1))</f>
        <v/>
      </c>
    </row>
    <row r="189">
      <c r="B189" s="32" t="n"/>
      <c r="C189" s="30" t="n"/>
      <c r="D189" s="30" t="n"/>
      <c r="E189" s="33" t="n"/>
      <c r="F189" s="30" t="n"/>
      <c r="G189" s="34">
        <f>IF(B189="","",DATE(YEAR(B189),MONTH(B189),1))</f>
        <v/>
      </c>
    </row>
    <row r="190">
      <c r="B190" s="32" t="n"/>
      <c r="C190" s="30" t="n"/>
      <c r="D190" s="30" t="n"/>
      <c r="E190" s="33" t="n"/>
      <c r="F190" s="30" t="n"/>
      <c r="G190" s="34">
        <f>IF(B190="","",DATE(YEAR(B190),MONTH(B190),1))</f>
        <v/>
      </c>
    </row>
    <row r="191">
      <c r="B191" s="32" t="n"/>
      <c r="C191" s="30" t="n"/>
      <c r="D191" s="30" t="n"/>
      <c r="E191" s="33" t="n"/>
      <c r="F191" s="30" t="n"/>
      <c r="G191" s="34">
        <f>IF(B191="","",DATE(YEAR(B191),MONTH(B191),1))</f>
        <v/>
      </c>
    </row>
    <row r="192">
      <c r="B192" s="32" t="n"/>
      <c r="C192" s="30" t="n"/>
      <c r="D192" s="30" t="n"/>
      <c r="E192" s="33" t="n"/>
      <c r="F192" s="30" t="n"/>
      <c r="G192" s="34">
        <f>IF(B192="","",DATE(YEAR(B192),MONTH(B192),1))</f>
        <v/>
      </c>
    </row>
    <row r="193">
      <c r="B193" s="32" t="n"/>
      <c r="C193" s="30" t="n"/>
      <c r="D193" s="30" t="n"/>
      <c r="E193" s="33" t="n"/>
      <c r="F193" s="30" t="n"/>
      <c r="G193" s="34">
        <f>IF(B193="","",DATE(YEAR(B193),MONTH(B193),1))</f>
        <v/>
      </c>
    </row>
    <row r="194">
      <c r="B194" s="32" t="n"/>
      <c r="C194" s="30" t="n"/>
      <c r="D194" s="30" t="n"/>
      <c r="E194" s="33" t="n"/>
      <c r="F194" s="30" t="n"/>
      <c r="G194" s="34">
        <f>IF(B194="","",DATE(YEAR(B194),MONTH(B194),1))</f>
        <v/>
      </c>
    </row>
    <row r="195">
      <c r="B195" s="32" t="n"/>
      <c r="C195" s="30" t="n"/>
      <c r="D195" s="30" t="n"/>
      <c r="E195" s="33" t="n"/>
      <c r="F195" s="30" t="n"/>
      <c r="G195" s="34">
        <f>IF(B195="","",DATE(YEAR(B195),MONTH(B195),1))</f>
        <v/>
      </c>
    </row>
    <row r="196">
      <c r="B196" s="32" t="n"/>
      <c r="C196" s="30" t="n"/>
      <c r="D196" s="30" t="n"/>
      <c r="E196" s="33" t="n"/>
      <c r="F196" s="30" t="n"/>
      <c r="G196" s="34">
        <f>IF(B196="","",DATE(YEAR(B196),MONTH(B196),1))</f>
        <v/>
      </c>
    </row>
    <row r="197">
      <c r="B197" s="32" t="n"/>
      <c r="C197" s="30" t="n"/>
      <c r="D197" s="30" t="n"/>
      <c r="E197" s="33" t="n"/>
      <c r="F197" s="30" t="n"/>
      <c r="G197" s="34">
        <f>IF(B197="","",DATE(YEAR(B197),MONTH(B197),1))</f>
        <v/>
      </c>
    </row>
    <row r="198">
      <c r="B198" s="32" t="n"/>
      <c r="C198" s="30" t="n"/>
      <c r="D198" s="30" t="n"/>
      <c r="E198" s="33" t="n"/>
      <c r="F198" s="30" t="n"/>
      <c r="G198" s="34">
        <f>IF(B198="","",DATE(YEAR(B198),MONTH(B198),1))</f>
        <v/>
      </c>
    </row>
    <row r="199">
      <c r="B199" s="32" t="n"/>
      <c r="C199" s="30" t="n"/>
      <c r="D199" s="30" t="n"/>
      <c r="E199" s="33" t="n"/>
      <c r="F199" s="30" t="n"/>
      <c r="G199" s="34">
        <f>IF(B199="","",DATE(YEAR(B199),MONTH(B199),1))</f>
        <v/>
      </c>
    </row>
    <row r="200">
      <c r="B200" s="32" t="n"/>
      <c r="C200" s="30" t="n"/>
      <c r="D200" s="30" t="n"/>
      <c r="E200" s="33" t="n"/>
      <c r="F200" s="30" t="n"/>
      <c r="G200" s="34">
        <f>IF(B200="","",DATE(YEAR(B200),MONTH(B200),1))</f>
        <v/>
      </c>
    </row>
    <row r="201">
      <c r="B201" s="32" t="n"/>
      <c r="C201" s="30" t="n"/>
      <c r="D201" s="30" t="n"/>
      <c r="E201" s="33" t="n"/>
      <c r="F201" s="30" t="n"/>
      <c r="G201" s="34">
        <f>IF(B201="","",DATE(YEAR(B201),MONTH(B201),1))</f>
        <v/>
      </c>
    </row>
    <row r="202">
      <c r="B202" s="32" t="n"/>
      <c r="C202" s="30" t="n"/>
      <c r="D202" s="30" t="n"/>
      <c r="E202" s="33" t="n"/>
      <c r="F202" s="30" t="n"/>
      <c r="G202" s="34">
        <f>IF(B202="","",DATE(YEAR(B202),MONTH(B202),1))</f>
        <v/>
      </c>
    </row>
    <row r="203">
      <c r="B203" s="32" t="n"/>
      <c r="C203" s="30" t="n"/>
      <c r="D203" s="30" t="n"/>
      <c r="E203" s="33" t="n"/>
      <c r="F203" s="30" t="n"/>
      <c r="G203" s="34">
        <f>IF(B203="","",DATE(YEAR(B203),MONTH(B203),1))</f>
        <v/>
      </c>
    </row>
    <row r="204">
      <c r="B204" s="32" t="n"/>
      <c r="C204" s="30" t="n"/>
      <c r="D204" s="30" t="n"/>
      <c r="E204" s="33" t="n"/>
      <c r="F204" s="30" t="n"/>
      <c r="G204" s="34">
        <f>IF(B204="","",DATE(YEAR(B204),MONTH(B204),1))</f>
        <v/>
      </c>
    </row>
    <row r="205">
      <c r="B205" s="32" t="n"/>
      <c r="C205" s="30" t="n"/>
      <c r="D205" s="30" t="n"/>
      <c r="E205" s="33" t="n"/>
      <c r="F205" s="30" t="n"/>
      <c r="G205" s="34">
        <f>IF(B205="","",DATE(YEAR(B205),MONTH(B205),1))</f>
        <v/>
      </c>
    </row>
    <row r="206">
      <c r="B206" s="32" t="n"/>
      <c r="C206" s="30" t="n"/>
      <c r="D206" s="30" t="n"/>
      <c r="E206" s="33" t="n"/>
      <c r="F206" s="30" t="n"/>
      <c r="G206" s="34">
        <f>IF(B206="","",DATE(YEAR(B206),MONTH(B206),1))</f>
        <v/>
      </c>
    </row>
    <row r="207">
      <c r="B207" s="32" t="n"/>
      <c r="C207" s="30" t="n"/>
      <c r="D207" s="30" t="n"/>
      <c r="E207" s="33" t="n"/>
      <c r="F207" s="30" t="n"/>
      <c r="G207" s="34">
        <f>IF(B207="","",DATE(YEAR(B207),MONTH(B207),1))</f>
        <v/>
      </c>
    </row>
    <row r="208">
      <c r="B208" s="32" t="n"/>
      <c r="C208" s="30" t="n"/>
      <c r="D208" s="30" t="n"/>
      <c r="E208" s="33" t="n"/>
      <c r="F208" s="30" t="n"/>
      <c r="G208" s="34">
        <f>IF(B208="","",DATE(YEAR(B208),MONTH(B208),1))</f>
        <v/>
      </c>
    </row>
    <row r="209">
      <c r="B209" s="32" t="n"/>
      <c r="C209" s="30" t="n"/>
      <c r="D209" s="30" t="n"/>
      <c r="E209" s="33" t="n"/>
      <c r="F209" s="30" t="n"/>
      <c r="G209" s="34">
        <f>IF(B209="","",DATE(YEAR(B209),MONTH(B209),1))</f>
        <v/>
      </c>
    </row>
    <row r="210">
      <c r="B210" s="32" t="n"/>
      <c r="C210" s="30" t="n"/>
      <c r="D210" s="30" t="n"/>
      <c r="E210" s="33" t="n"/>
      <c r="F210" s="30" t="n"/>
      <c r="G210" s="34">
        <f>IF(B210="","",DATE(YEAR(B210),MONTH(B210),1))</f>
        <v/>
      </c>
    </row>
    <row r="211">
      <c r="B211" s="32" t="n"/>
      <c r="C211" s="30" t="n"/>
      <c r="D211" s="30" t="n"/>
      <c r="E211" s="33" t="n"/>
      <c r="F211" s="30" t="n"/>
      <c r="G211" s="34">
        <f>IF(B211="","",DATE(YEAR(B211),MONTH(B211),1))</f>
        <v/>
      </c>
    </row>
    <row r="212">
      <c r="B212" s="32" t="n"/>
      <c r="C212" s="30" t="n"/>
      <c r="D212" s="30" t="n"/>
      <c r="E212" s="33" t="n"/>
      <c r="F212" s="30" t="n"/>
      <c r="G212" s="34">
        <f>IF(B212="","",DATE(YEAR(B212),MONTH(B212),1))</f>
        <v/>
      </c>
    </row>
    <row r="213">
      <c r="B213" s="32" t="n"/>
      <c r="C213" s="30" t="n"/>
      <c r="D213" s="30" t="n"/>
      <c r="E213" s="33" t="n"/>
      <c r="F213" s="30" t="n"/>
      <c r="G213" s="34">
        <f>IF(B213="","",DATE(YEAR(B213),MONTH(B213),1))</f>
        <v/>
      </c>
    </row>
    <row r="214">
      <c r="B214" s="32" t="n"/>
      <c r="C214" s="30" t="n"/>
      <c r="D214" s="30" t="n"/>
      <c r="E214" s="33" t="n"/>
      <c r="F214" s="30" t="n"/>
      <c r="G214" s="34">
        <f>IF(B214="","",DATE(YEAR(B214),MONTH(B214),1))</f>
        <v/>
      </c>
    </row>
    <row r="215">
      <c r="B215" s="32" t="n"/>
      <c r="C215" s="30" t="n"/>
      <c r="D215" s="30" t="n"/>
      <c r="E215" s="33" t="n"/>
      <c r="F215" s="30" t="n"/>
      <c r="G215" s="34">
        <f>IF(B215="","",DATE(YEAR(B215),MONTH(B215),1))</f>
        <v/>
      </c>
    </row>
    <row r="216">
      <c r="B216" s="32" t="n"/>
      <c r="C216" s="30" t="n"/>
      <c r="D216" s="30" t="n"/>
      <c r="E216" s="33" t="n"/>
      <c r="F216" s="30" t="n"/>
      <c r="G216" s="34">
        <f>IF(B216="","",DATE(YEAR(B216),MONTH(B216),1))</f>
        <v/>
      </c>
    </row>
    <row r="217">
      <c r="B217" s="32" t="n"/>
      <c r="C217" s="30" t="n"/>
      <c r="D217" s="30" t="n"/>
      <c r="E217" s="33" t="n"/>
      <c r="F217" s="30" t="n"/>
      <c r="G217" s="34">
        <f>IF(B217="","",DATE(YEAR(B217),MONTH(B217),1))</f>
        <v/>
      </c>
    </row>
    <row r="218">
      <c r="B218" s="32" t="n"/>
      <c r="C218" s="30" t="n"/>
      <c r="D218" s="30" t="n"/>
      <c r="E218" s="33" t="n"/>
      <c r="F218" s="30" t="n"/>
      <c r="G218" s="34">
        <f>IF(B218="","",DATE(YEAR(B218),MONTH(B218),1))</f>
        <v/>
      </c>
    </row>
    <row r="219">
      <c r="B219" s="32" t="n"/>
      <c r="C219" s="30" t="n"/>
      <c r="D219" s="30" t="n"/>
      <c r="E219" s="33" t="n"/>
      <c r="F219" s="30" t="n"/>
      <c r="G219" s="34">
        <f>IF(B219="","",DATE(YEAR(B219),MONTH(B219),1))</f>
        <v/>
      </c>
    </row>
    <row r="220">
      <c r="B220" s="32" t="n"/>
      <c r="C220" s="30" t="n"/>
      <c r="D220" s="30" t="n"/>
      <c r="E220" s="33" t="n"/>
      <c r="F220" s="30" t="n"/>
      <c r="G220" s="34">
        <f>IF(B220="","",DATE(YEAR(B220),MONTH(B220),1))</f>
        <v/>
      </c>
    </row>
    <row r="221">
      <c r="B221" s="32" t="n"/>
      <c r="C221" s="30" t="n"/>
      <c r="D221" s="30" t="n"/>
      <c r="E221" s="33" t="n"/>
      <c r="F221" s="30" t="n"/>
      <c r="G221" s="34">
        <f>IF(B221="","",DATE(YEAR(B221),MONTH(B221),1))</f>
        <v/>
      </c>
    </row>
    <row r="222">
      <c r="B222" s="32" t="n"/>
      <c r="C222" s="30" t="n"/>
      <c r="D222" s="30" t="n"/>
      <c r="E222" s="33" t="n"/>
      <c r="F222" s="30" t="n"/>
      <c r="G222" s="34">
        <f>IF(B222="","",DATE(YEAR(B222),MONTH(B222),1))</f>
        <v/>
      </c>
    </row>
    <row r="223">
      <c r="B223" s="32" t="n"/>
      <c r="C223" s="30" t="n"/>
      <c r="D223" s="30" t="n"/>
      <c r="E223" s="33" t="n"/>
      <c r="F223" s="30" t="n"/>
      <c r="G223" s="34">
        <f>IF(B223="","",DATE(YEAR(B223),MONTH(B223),1))</f>
        <v/>
      </c>
    </row>
    <row r="224">
      <c r="B224" s="32" t="n"/>
      <c r="C224" s="30" t="n"/>
      <c r="D224" s="30" t="n"/>
      <c r="E224" s="33" t="n"/>
      <c r="F224" s="30" t="n"/>
      <c r="G224" s="34">
        <f>IF(B224="","",DATE(YEAR(B224),MONTH(B224),1))</f>
        <v/>
      </c>
    </row>
    <row r="225">
      <c r="B225" s="32" t="n"/>
      <c r="C225" s="30" t="n"/>
      <c r="D225" s="30" t="n"/>
      <c r="E225" s="33" t="n"/>
      <c r="F225" s="30" t="n"/>
      <c r="G225" s="34">
        <f>IF(B225="","",DATE(YEAR(B225),MONTH(B225),1))</f>
        <v/>
      </c>
    </row>
    <row r="226">
      <c r="B226" s="32" t="n"/>
      <c r="C226" s="30" t="n"/>
      <c r="D226" s="30" t="n"/>
      <c r="E226" s="33" t="n"/>
      <c r="F226" s="30" t="n"/>
      <c r="G226" s="34">
        <f>IF(B226="","",DATE(YEAR(B226),MONTH(B226),1))</f>
        <v/>
      </c>
    </row>
    <row r="227">
      <c r="B227" s="32" t="n"/>
      <c r="C227" s="30" t="n"/>
      <c r="D227" s="30" t="n"/>
      <c r="E227" s="33" t="n"/>
      <c r="F227" s="30" t="n"/>
      <c r="G227" s="34">
        <f>IF(B227="","",DATE(YEAR(B227),MONTH(B227),1))</f>
        <v/>
      </c>
    </row>
    <row r="228">
      <c r="B228" s="32" t="n"/>
      <c r="C228" s="30" t="n"/>
      <c r="D228" s="30" t="n"/>
      <c r="E228" s="33" t="n"/>
      <c r="F228" s="30" t="n"/>
      <c r="G228" s="34">
        <f>IF(B228="","",DATE(YEAR(B228),MONTH(B228),1))</f>
        <v/>
      </c>
    </row>
    <row r="229">
      <c r="B229" s="32" t="n"/>
      <c r="C229" s="30" t="n"/>
      <c r="D229" s="30" t="n"/>
      <c r="E229" s="33" t="n"/>
      <c r="F229" s="30" t="n"/>
      <c r="G229" s="34">
        <f>IF(B229="","",DATE(YEAR(B229),MONTH(B229),1))</f>
        <v/>
      </c>
    </row>
    <row r="230">
      <c r="B230" s="32" t="n"/>
      <c r="C230" s="30" t="n"/>
      <c r="D230" s="30" t="n"/>
      <c r="E230" s="33" t="n"/>
      <c r="F230" s="30" t="n"/>
      <c r="G230" s="34">
        <f>IF(B230="","",DATE(YEAR(B230),MONTH(B230),1))</f>
        <v/>
      </c>
    </row>
    <row r="231">
      <c r="B231" s="32" t="n"/>
      <c r="C231" s="30" t="n"/>
      <c r="D231" s="30" t="n"/>
      <c r="E231" s="33" t="n"/>
      <c r="F231" s="30" t="n"/>
      <c r="G231" s="34">
        <f>IF(B231="","",DATE(YEAR(B231),MONTH(B231),1))</f>
        <v/>
      </c>
    </row>
    <row r="232">
      <c r="B232" s="32" t="n"/>
      <c r="C232" s="30" t="n"/>
      <c r="D232" s="30" t="n"/>
      <c r="E232" s="33" t="n"/>
      <c r="F232" s="30" t="n"/>
      <c r="G232" s="34">
        <f>IF(B232="","",DATE(YEAR(B232),MONTH(B232),1))</f>
        <v/>
      </c>
    </row>
    <row r="233">
      <c r="B233" s="32" t="n"/>
      <c r="C233" s="30" t="n"/>
      <c r="D233" s="30" t="n"/>
      <c r="E233" s="33" t="n"/>
      <c r="F233" s="30" t="n"/>
      <c r="G233" s="34">
        <f>IF(B233="","",DATE(YEAR(B233),MONTH(B233),1))</f>
        <v/>
      </c>
    </row>
    <row r="234">
      <c r="B234" s="32" t="n"/>
      <c r="C234" s="30" t="n"/>
      <c r="D234" s="30" t="n"/>
      <c r="E234" s="33" t="n"/>
      <c r="F234" s="30" t="n"/>
      <c r="G234" s="34">
        <f>IF(B234="","",DATE(YEAR(B234),MONTH(B234),1))</f>
        <v/>
      </c>
    </row>
    <row r="235">
      <c r="B235" s="32" t="n"/>
      <c r="C235" s="30" t="n"/>
      <c r="D235" s="30" t="n"/>
      <c r="E235" s="33" t="n"/>
      <c r="F235" s="30" t="n"/>
      <c r="G235" s="34">
        <f>IF(B235="","",DATE(YEAR(B235),MONTH(B235),1))</f>
        <v/>
      </c>
    </row>
    <row r="236">
      <c r="B236" s="32" t="n"/>
      <c r="C236" s="30" t="n"/>
      <c r="D236" s="30" t="n"/>
      <c r="E236" s="33" t="n"/>
      <c r="F236" s="30" t="n"/>
      <c r="G236" s="34">
        <f>IF(B236="","",DATE(YEAR(B236),MONTH(B236),1))</f>
        <v/>
      </c>
    </row>
    <row r="237">
      <c r="B237" s="32" t="n"/>
      <c r="C237" s="30" t="n"/>
      <c r="D237" s="30" t="n"/>
      <c r="E237" s="33" t="n"/>
      <c r="F237" s="30" t="n"/>
      <c r="G237" s="34">
        <f>IF(B237="","",DATE(YEAR(B237),MONTH(B237),1))</f>
        <v/>
      </c>
    </row>
    <row r="238">
      <c r="B238" s="32" t="n"/>
      <c r="C238" s="30" t="n"/>
      <c r="D238" s="30" t="n"/>
      <c r="E238" s="33" t="n"/>
      <c r="F238" s="30" t="n"/>
      <c r="G238" s="34">
        <f>IF(B238="","",DATE(YEAR(B238),MONTH(B238),1))</f>
        <v/>
      </c>
    </row>
    <row r="239">
      <c r="B239" s="32" t="n"/>
      <c r="C239" s="30" t="n"/>
      <c r="D239" s="30" t="n"/>
      <c r="E239" s="33" t="n"/>
      <c r="F239" s="30" t="n"/>
      <c r="G239" s="34">
        <f>IF(B239="","",DATE(YEAR(B239),MONTH(B239),1))</f>
        <v/>
      </c>
    </row>
    <row r="240">
      <c r="B240" s="32" t="n"/>
      <c r="C240" s="30" t="n"/>
      <c r="D240" s="30" t="n"/>
      <c r="E240" s="33" t="n"/>
      <c r="F240" s="30" t="n"/>
      <c r="G240" s="34">
        <f>IF(B240="","",DATE(YEAR(B240),MONTH(B240),1))</f>
        <v/>
      </c>
    </row>
    <row r="241">
      <c r="B241" s="32" t="n"/>
      <c r="C241" s="30" t="n"/>
      <c r="D241" s="30" t="n"/>
      <c r="E241" s="33" t="n"/>
      <c r="F241" s="30" t="n"/>
      <c r="G241" s="34">
        <f>IF(B241="","",DATE(YEAR(B241),MONTH(B241),1))</f>
        <v/>
      </c>
    </row>
    <row r="242">
      <c r="B242" s="32" t="n"/>
      <c r="C242" s="30" t="n"/>
      <c r="D242" s="30" t="n"/>
      <c r="E242" s="33" t="n"/>
      <c r="F242" s="30" t="n"/>
      <c r="G242" s="34">
        <f>IF(B242="","",DATE(YEAR(B242),MONTH(B242),1))</f>
        <v/>
      </c>
    </row>
    <row r="243">
      <c r="B243" s="32" t="n"/>
      <c r="C243" s="30" t="n"/>
      <c r="D243" s="30" t="n"/>
      <c r="E243" s="33" t="n"/>
      <c r="F243" s="30" t="n"/>
      <c r="G243" s="34">
        <f>IF(B243="","",DATE(YEAR(B243),MONTH(B243),1))</f>
        <v/>
      </c>
    </row>
    <row r="244">
      <c r="B244" s="32" t="n"/>
      <c r="C244" s="30" t="n"/>
      <c r="D244" s="30" t="n"/>
      <c r="E244" s="33" t="n"/>
      <c r="F244" s="30" t="n"/>
      <c r="G244" s="34">
        <f>IF(B244="","",DATE(YEAR(B244),MONTH(B244),1))</f>
        <v/>
      </c>
    </row>
    <row r="245">
      <c r="B245" s="32" t="n"/>
      <c r="C245" s="30" t="n"/>
      <c r="D245" s="30" t="n"/>
      <c r="E245" s="33" t="n"/>
      <c r="F245" s="30" t="n"/>
      <c r="G245" s="34">
        <f>IF(B245="","",DATE(YEAR(B245),MONTH(B245),1))</f>
        <v/>
      </c>
    </row>
    <row r="246">
      <c r="B246" s="32" t="n"/>
      <c r="C246" s="30" t="n"/>
      <c r="D246" s="30" t="n"/>
      <c r="E246" s="33" t="n"/>
      <c r="F246" s="30" t="n"/>
      <c r="G246" s="34">
        <f>IF(B246="","",DATE(YEAR(B246),MONTH(B246),1))</f>
        <v/>
      </c>
    </row>
    <row r="247">
      <c r="B247" s="32" t="n"/>
      <c r="C247" s="30" t="n"/>
      <c r="D247" s="30" t="n"/>
      <c r="E247" s="33" t="n"/>
      <c r="F247" s="30" t="n"/>
      <c r="G247" s="34">
        <f>IF(B247="","",DATE(YEAR(B247),MONTH(B247),1))</f>
        <v/>
      </c>
    </row>
    <row r="248">
      <c r="B248" s="32" t="n"/>
      <c r="C248" s="30" t="n"/>
      <c r="D248" s="30" t="n"/>
      <c r="E248" s="33" t="n"/>
      <c r="F248" s="30" t="n"/>
      <c r="G248" s="34">
        <f>IF(B248="","",DATE(YEAR(B248),MONTH(B248),1))</f>
        <v/>
      </c>
    </row>
    <row r="249">
      <c r="B249" s="32" t="n"/>
      <c r="C249" s="30" t="n"/>
      <c r="D249" s="30" t="n"/>
      <c r="E249" s="33" t="n"/>
      <c r="F249" s="30" t="n"/>
      <c r="G249" s="34">
        <f>IF(B249="","",DATE(YEAR(B249),MONTH(B249),1))</f>
        <v/>
      </c>
    </row>
    <row r="250">
      <c r="B250" s="32" t="n"/>
      <c r="C250" s="30" t="n"/>
      <c r="D250" s="30" t="n"/>
      <c r="E250" s="33" t="n"/>
      <c r="F250" s="30" t="n"/>
      <c r="G250" s="34">
        <f>IF(B250="","",DATE(YEAR(B250),MONTH(B250),1))</f>
        <v/>
      </c>
    </row>
    <row r="251">
      <c r="B251" s="32" t="n"/>
      <c r="C251" s="30" t="n"/>
      <c r="D251" s="30" t="n"/>
      <c r="E251" s="33" t="n"/>
      <c r="F251" s="30" t="n"/>
      <c r="G251" s="34">
        <f>IF(B251="","",DATE(YEAR(B251),MONTH(B251),1))</f>
        <v/>
      </c>
    </row>
    <row r="252">
      <c r="B252" s="32" t="n"/>
      <c r="C252" s="30" t="n"/>
      <c r="D252" s="30" t="n"/>
      <c r="E252" s="33" t="n"/>
      <c r="F252" s="30" t="n"/>
      <c r="G252" s="34">
        <f>IF(B252="","",DATE(YEAR(B252),MONTH(B252),1))</f>
        <v/>
      </c>
    </row>
    <row r="253">
      <c r="B253" s="32" t="n"/>
      <c r="C253" s="30" t="n"/>
      <c r="D253" s="30" t="n"/>
      <c r="E253" s="33" t="n"/>
      <c r="F253" s="30" t="n"/>
      <c r="G253" s="34">
        <f>IF(B253="","",DATE(YEAR(B253),MONTH(B253),1))</f>
        <v/>
      </c>
    </row>
    <row r="254">
      <c r="B254" s="32" t="n"/>
      <c r="C254" s="30" t="n"/>
      <c r="D254" s="30" t="n"/>
      <c r="E254" s="33" t="n"/>
      <c r="F254" s="30" t="n"/>
      <c r="G254" s="34">
        <f>IF(B254="","",DATE(YEAR(B254),MONTH(B254),1))</f>
        <v/>
      </c>
    </row>
    <row r="255">
      <c r="B255" s="32" t="n"/>
      <c r="C255" s="30" t="n"/>
      <c r="D255" s="30" t="n"/>
      <c r="E255" s="33" t="n"/>
      <c r="F255" s="30" t="n"/>
      <c r="G255" s="34">
        <f>IF(B255="","",DATE(YEAR(B255),MONTH(B255),1))</f>
        <v/>
      </c>
    </row>
    <row r="256">
      <c r="B256" s="32" t="n"/>
      <c r="C256" s="30" t="n"/>
      <c r="D256" s="30" t="n"/>
      <c r="E256" s="33" t="n"/>
      <c r="F256" s="30" t="n"/>
      <c r="G256" s="34">
        <f>IF(B256="","",DATE(YEAR(B256),MONTH(B256),1))</f>
        <v/>
      </c>
    </row>
    <row r="257">
      <c r="B257" s="32" t="n"/>
      <c r="C257" s="30" t="n"/>
      <c r="D257" s="30" t="n"/>
      <c r="E257" s="33" t="n"/>
      <c r="F257" s="30" t="n"/>
      <c r="G257" s="34">
        <f>IF(B257="","",DATE(YEAR(B257),MONTH(B257),1))</f>
        <v/>
      </c>
    </row>
    <row r="258">
      <c r="B258" s="32" t="n"/>
      <c r="C258" s="30" t="n"/>
      <c r="D258" s="30" t="n"/>
      <c r="E258" s="33" t="n"/>
      <c r="F258" s="30" t="n"/>
      <c r="G258" s="34">
        <f>IF(B258="","",DATE(YEAR(B258),MONTH(B258),1))</f>
        <v/>
      </c>
    </row>
    <row r="259">
      <c r="B259" s="32" t="n"/>
      <c r="C259" s="30" t="n"/>
      <c r="D259" s="30" t="n"/>
      <c r="E259" s="33" t="n"/>
      <c r="F259" s="30" t="n"/>
      <c r="G259" s="34">
        <f>IF(B259="","",DATE(YEAR(B259),MONTH(B259),1))</f>
        <v/>
      </c>
    </row>
    <row r="260">
      <c r="B260" s="32" t="n"/>
      <c r="C260" s="30" t="n"/>
      <c r="D260" s="30" t="n"/>
      <c r="E260" s="33" t="n"/>
      <c r="F260" s="30" t="n"/>
      <c r="G260" s="34">
        <f>IF(B260="","",DATE(YEAR(B260),MONTH(B260),1))</f>
        <v/>
      </c>
    </row>
    <row r="261">
      <c r="B261" s="32" t="n"/>
      <c r="C261" s="30" t="n"/>
      <c r="D261" s="30" t="n"/>
      <c r="E261" s="33" t="n"/>
      <c r="F261" s="30" t="n"/>
      <c r="G261" s="34">
        <f>IF(B261="","",DATE(YEAR(B261),MONTH(B261),1))</f>
        <v/>
      </c>
    </row>
    <row r="262">
      <c r="B262" s="32" t="n"/>
      <c r="C262" s="30" t="n"/>
      <c r="D262" s="30" t="n"/>
      <c r="E262" s="33" t="n"/>
      <c r="F262" s="30" t="n"/>
      <c r="G262" s="34">
        <f>IF(B262="","",DATE(YEAR(B262),MONTH(B262),1))</f>
        <v/>
      </c>
    </row>
    <row r="263">
      <c r="B263" s="32" t="n"/>
      <c r="C263" s="30" t="n"/>
      <c r="D263" s="30" t="n"/>
      <c r="E263" s="33" t="n"/>
      <c r="F263" s="30" t="n"/>
      <c r="G263" s="34">
        <f>IF(B263="","",DATE(YEAR(B263),MONTH(B263),1))</f>
        <v/>
      </c>
    </row>
    <row r="264">
      <c r="B264" s="32" t="n"/>
      <c r="C264" s="30" t="n"/>
      <c r="D264" s="30" t="n"/>
      <c r="E264" s="33" t="n"/>
      <c r="F264" s="30" t="n"/>
      <c r="G264" s="34">
        <f>IF(B264="","",DATE(YEAR(B264),MONTH(B264),1))</f>
        <v/>
      </c>
    </row>
    <row r="265">
      <c r="B265" s="32" t="n"/>
      <c r="C265" s="30" t="n"/>
      <c r="D265" s="30" t="n"/>
      <c r="E265" s="33" t="n"/>
      <c r="F265" s="30" t="n"/>
      <c r="G265" s="34">
        <f>IF(B265="","",DATE(YEAR(B265),MONTH(B265),1))</f>
        <v/>
      </c>
    </row>
    <row r="266">
      <c r="B266" s="32" t="n"/>
      <c r="C266" s="30" t="n"/>
      <c r="D266" s="30" t="n"/>
      <c r="E266" s="33" t="n"/>
      <c r="F266" s="30" t="n"/>
      <c r="G266" s="34">
        <f>IF(B266="","",DATE(YEAR(B266),MONTH(B266),1))</f>
        <v/>
      </c>
    </row>
    <row r="267">
      <c r="B267" s="32" t="n"/>
      <c r="C267" s="30" t="n"/>
      <c r="D267" s="30" t="n"/>
      <c r="E267" s="33" t="n"/>
      <c r="F267" s="30" t="n"/>
      <c r="G267" s="34">
        <f>IF(B267="","",DATE(YEAR(B267),MONTH(B267),1))</f>
        <v/>
      </c>
    </row>
    <row r="268">
      <c r="B268" s="32" t="n"/>
      <c r="C268" s="30" t="n"/>
      <c r="D268" s="30" t="n"/>
      <c r="E268" s="33" t="n"/>
      <c r="F268" s="30" t="n"/>
      <c r="G268" s="34">
        <f>IF(B268="","",DATE(YEAR(B268),MONTH(B268),1))</f>
        <v/>
      </c>
    </row>
    <row r="269">
      <c r="B269" s="32" t="n"/>
      <c r="C269" s="30" t="n"/>
      <c r="D269" s="30" t="n"/>
      <c r="E269" s="33" t="n"/>
      <c r="F269" s="30" t="n"/>
      <c r="G269" s="34">
        <f>IF(B269="","",DATE(YEAR(B269),MONTH(B269),1))</f>
        <v/>
      </c>
    </row>
    <row r="270">
      <c r="B270" s="32" t="n"/>
      <c r="C270" s="30" t="n"/>
      <c r="D270" s="30" t="n"/>
      <c r="E270" s="33" t="n"/>
      <c r="F270" s="30" t="n"/>
      <c r="G270" s="34">
        <f>IF(B270="","",DATE(YEAR(B270),MONTH(B270),1))</f>
        <v/>
      </c>
    </row>
    <row r="271">
      <c r="B271" s="32" t="n"/>
      <c r="C271" s="30" t="n"/>
      <c r="D271" s="30" t="n"/>
      <c r="E271" s="33" t="n"/>
      <c r="F271" s="30" t="n"/>
      <c r="G271" s="34">
        <f>IF(B271="","",DATE(YEAR(B271),MONTH(B271),1))</f>
        <v/>
      </c>
    </row>
    <row r="272">
      <c r="B272" s="32" t="n"/>
      <c r="C272" s="30" t="n"/>
      <c r="D272" s="30" t="n"/>
      <c r="E272" s="33" t="n"/>
      <c r="F272" s="30" t="n"/>
      <c r="G272" s="34">
        <f>IF(B272="","",DATE(YEAR(B272),MONTH(B272),1))</f>
        <v/>
      </c>
    </row>
    <row r="273">
      <c r="B273" s="32" t="n"/>
      <c r="C273" s="30" t="n"/>
      <c r="D273" s="30" t="n"/>
      <c r="E273" s="33" t="n"/>
      <c r="F273" s="30" t="n"/>
      <c r="G273" s="34">
        <f>IF(B273="","",DATE(YEAR(B273),MONTH(B273),1))</f>
        <v/>
      </c>
    </row>
    <row r="274">
      <c r="B274" s="32" t="n"/>
      <c r="C274" s="30" t="n"/>
      <c r="D274" s="30" t="n"/>
      <c r="E274" s="33" t="n"/>
      <c r="F274" s="30" t="n"/>
      <c r="G274" s="34">
        <f>IF(B274="","",DATE(YEAR(B274),MONTH(B274),1))</f>
        <v/>
      </c>
    </row>
    <row r="275">
      <c r="B275" s="32" t="n"/>
      <c r="C275" s="30" t="n"/>
      <c r="D275" s="30" t="n"/>
      <c r="E275" s="33" t="n"/>
      <c r="F275" s="30" t="n"/>
      <c r="G275" s="34">
        <f>IF(B275="","",DATE(YEAR(B275),MONTH(B275),1))</f>
        <v/>
      </c>
    </row>
    <row r="276">
      <c r="B276" s="32" t="n"/>
      <c r="C276" s="30" t="n"/>
      <c r="D276" s="30" t="n"/>
      <c r="E276" s="33" t="n"/>
      <c r="F276" s="30" t="n"/>
      <c r="G276" s="34">
        <f>IF(B276="","",DATE(YEAR(B276),MONTH(B276),1))</f>
        <v/>
      </c>
    </row>
    <row r="277">
      <c r="B277" s="32" t="n"/>
      <c r="C277" s="30" t="n"/>
      <c r="D277" s="30" t="n"/>
      <c r="E277" s="33" t="n"/>
      <c r="F277" s="30" t="n"/>
      <c r="G277" s="34">
        <f>IF(B277="","",DATE(YEAR(B277),MONTH(B277),1))</f>
        <v/>
      </c>
    </row>
    <row r="278">
      <c r="B278" s="32" t="n"/>
      <c r="C278" s="30" t="n"/>
      <c r="D278" s="30" t="n"/>
      <c r="E278" s="33" t="n"/>
      <c r="F278" s="30" t="n"/>
      <c r="G278" s="34">
        <f>IF(B278="","",DATE(YEAR(B278),MONTH(B278),1))</f>
        <v/>
      </c>
    </row>
    <row r="279">
      <c r="B279" s="32" t="n"/>
      <c r="C279" s="30" t="n"/>
      <c r="D279" s="30" t="n"/>
      <c r="E279" s="33" t="n"/>
      <c r="F279" s="30" t="n"/>
      <c r="G279" s="34">
        <f>IF(B279="","",DATE(YEAR(B279),MONTH(B279),1))</f>
        <v/>
      </c>
    </row>
    <row r="280">
      <c r="B280" s="32" t="n"/>
      <c r="C280" s="30" t="n"/>
      <c r="D280" s="30" t="n"/>
      <c r="E280" s="33" t="n"/>
      <c r="F280" s="30" t="n"/>
      <c r="G280" s="34">
        <f>IF(B280="","",DATE(YEAR(B280),MONTH(B280),1))</f>
        <v/>
      </c>
    </row>
    <row r="281">
      <c r="B281" s="32" t="n"/>
      <c r="C281" s="30" t="n"/>
      <c r="D281" s="30" t="n"/>
      <c r="E281" s="33" t="n"/>
      <c r="F281" s="30" t="n"/>
      <c r="G281" s="34">
        <f>IF(B281="","",DATE(YEAR(B281),MONTH(B281),1))</f>
        <v/>
      </c>
    </row>
    <row r="282">
      <c r="B282" s="32" t="n"/>
      <c r="C282" s="30" t="n"/>
      <c r="D282" s="30" t="n"/>
      <c r="E282" s="33" t="n"/>
      <c r="F282" s="30" t="n"/>
      <c r="G282" s="34">
        <f>IF(B282="","",DATE(YEAR(B282),MONTH(B282),1))</f>
        <v/>
      </c>
    </row>
    <row r="283">
      <c r="B283" s="32" t="n"/>
      <c r="C283" s="30" t="n"/>
      <c r="D283" s="30" t="n"/>
      <c r="E283" s="33" t="n"/>
      <c r="F283" s="30" t="n"/>
      <c r="G283" s="34">
        <f>IF(B283="","",DATE(YEAR(B283),MONTH(B283),1))</f>
        <v/>
      </c>
    </row>
    <row r="284">
      <c r="B284" s="32" t="n"/>
      <c r="C284" s="30" t="n"/>
      <c r="D284" s="30" t="n"/>
      <c r="E284" s="33" t="n"/>
      <c r="F284" s="30" t="n"/>
      <c r="G284" s="34">
        <f>IF(B284="","",DATE(YEAR(B284),MONTH(B284),1))</f>
        <v/>
      </c>
    </row>
    <row r="285">
      <c r="B285" s="32" t="n"/>
      <c r="C285" s="30" t="n"/>
      <c r="D285" s="30" t="n"/>
      <c r="E285" s="33" t="n"/>
      <c r="F285" s="30" t="n"/>
      <c r="G285" s="34">
        <f>IF(B285="","",DATE(YEAR(B285),MONTH(B285),1))</f>
        <v/>
      </c>
    </row>
    <row r="286">
      <c r="B286" s="32" t="n"/>
      <c r="C286" s="30" t="n"/>
      <c r="D286" s="30" t="n"/>
      <c r="E286" s="33" t="n"/>
      <c r="F286" s="30" t="n"/>
      <c r="G286" s="34">
        <f>IF(B286="","",DATE(YEAR(B286),MONTH(B286),1))</f>
        <v/>
      </c>
    </row>
    <row r="287">
      <c r="B287" s="32" t="n"/>
      <c r="C287" s="30" t="n"/>
      <c r="D287" s="30" t="n"/>
      <c r="E287" s="33" t="n"/>
      <c r="F287" s="30" t="n"/>
      <c r="G287" s="34">
        <f>IF(B287="","",DATE(YEAR(B287),MONTH(B287),1))</f>
        <v/>
      </c>
    </row>
    <row r="288">
      <c r="B288" s="32" t="n"/>
      <c r="C288" s="30" t="n"/>
      <c r="D288" s="30" t="n"/>
      <c r="E288" s="33" t="n"/>
      <c r="F288" s="30" t="n"/>
      <c r="G288" s="34">
        <f>IF(B288="","",DATE(YEAR(B288),MONTH(B288),1))</f>
        <v/>
      </c>
    </row>
    <row r="289">
      <c r="B289" s="32" t="n"/>
      <c r="C289" s="30" t="n"/>
      <c r="D289" s="30" t="n"/>
      <c r="E289" s="33" t="n"/>
      <c r="F289" s="30" t="n"/>
      <c r="G289" s="34">
        <f>IF(B289="","",DATE(YEAR(B289),MONTH(B289),1))</f>
        <v/>
      </c>
    </row>
    <row r="290">
      <c r="B290" s="32" t="n"/>
      <c r="C290" s="30" t="n"/>
      <c r="D290" s="30" t="n"/>
      <c r="E290" s="33" t="n"/>
      <c r="F290" s="30" t="n"/>
      <c r="G290" s="34">
        <f>IF(B290="","",DATE(YEAR(B290),MONTH(B290),1))</f>
        <v/>
      </c>
    </row>
    <row r="291">
      <c r="B291" s="32" t="n"/>
      <c r="C291" s="30" t="n"/>
      <c r="D291" s="30" t="n"/>
      <c r="E291" s="33" t="n"/>
      <c r="F291" s="30" t="n"/>
      <c r="G291" s="34">
        <f>IF(B291="","",DATE(YEAR(B291),MONTH(B291),1))</f>
        <v/>
      </c>
    </row>
    <row r="292">
      <c r="B292" s="32" t="n"/>
      <c r="C292" s="30" t="n"/>
      <c r="D292" s="30" t="n"/>
      <c r="E292" s="33" t="n"/>
      <c r="F292" s="30" t="n"/>
      <c r="G292" s="34">
        <f>IF(B292="","",DATE(YEAR(B292),MONTH(B292),1))</f>
        <v/>
      </c>
    </row>
    <row r="293">
      <c r="B293" s="32" t="n"/>
      <c r="C293" s="30" t="n"/>
      <c r="D293" s="30" t="n"/>
      <c r="E293" s="33" t="n"/>
      <c r="F293" s="30" t="n"/>
      <c r="G293" s="34">
        <f>IF(B293="","",DATE(YEAR(B293),MONTH(B293),1))</f>
        <v/>
      </c>
    </row>
    <row r="294">
      <c r="B294" s="32" t="n"/>
      <c r="C294" s="30" t="n"/>
      <c r="D294" s="30" t="n"/>
      <c r="E294" s="33" t="n"/>
      <c r="F294" s="30" t="n"/>
      <c r="G294" s="34">
        <f>IF(B294="","",DATE(YEAR(B294),MONTH(B294),1))</f>
        <v/>
      </c>
    </row>
    <row r="295">
      <c r="B295" s="32" t="n"/>
      <c r="C295" s="30" t="n"/>
      <c r="D295" s="30" t="n"/>
      <c r="E295" s="33" t="n"/>
      <c r="F295" s="30" t="n"/>
      <c r="G295" s="34">
        <f>IF(B295="","",DATE(YEAR(B295),MONTH(B295),1))</f>
        <v/>
      </c>
    </row>
    <row r="296">
      <c r="B296" s="32" t="n"/>
      <c r="C296" s="30" t="n"/>
      <c r="D296" s="30" t="n"/>
      <c r="E296" s="33" t="n"/>
      <c r="F296" s="30" t="n"/>
      <c r="G296" s="34">
        <f>IF(B296="","",DATE(YEAR(B296),MONTH(B296),1))</f>
        <v/>
      </c>
    </row>
    <row r="297">
      <c r="B297" s="32" t="n"/>
      <c r="C297" s="30" t="n"/>
      <c r="D297" s="30" t="n"/>
      <c r="E297" s="33" t="n"/>
      <c r="F297" s="30" t="n"/>
      <c r="G297" s="34">
        <f>IF(B297="","",DATE(YEAR(B297),MONTH(B297),1))</f>
        <v/>
      </c>
    </row>
    <row r="298">
      <c r="B298" s="32" t="n"/>
      <c r="C298" s="30" t="n"/>
      <c r="D298" s="30" t="n"/>
      <c r="E298" s="33" t="n"/>
      <c r="F298" s="30" t="n"/>
      <c r="G298" s="34">
        <f>IF(B298="","",DATE(YEAR(B298),MONTH(B298),1))</f>
        <v/>
      </c>
    </row>
    <row r="299">
      <c r="B299" s="32" t="n"/>
      <c r="C299" s="30" t="n"/>
      <c r="D299" s="30" t="n"/>
      <c r="E299" s="33" t="n"/>
      <c r="F299" s="30" t="n"/>
      <c r="G299" s="34">
        <f>IF(B299="","",DATE(YEAR(B299),MONTH(B299),1))</f>
        <v/>
      </c>
    </row>
    <row r="300">
      <c r="B300" s="32" t="n"/>
      <c r="C300" s="30" t="n"/>
      <c r="D300" s="30" t="n"/>
      <c r="E300" s="33" t="n"/>
      <c r="F300" s="30" t="n"/>
      <c r="G300" s="34">
        <f>IF(B300="","",DATE(YEAR(B300),MONTH(B300),1))</f>
        <v/>
      </c>
    </row>
    <row r="301">
      <c r="B301" s="32" t="n"/>
      <c r="C301" s="30" t="n"/>
      <c r="D301" s="30" t="n"/>
      <c r="E301" s="33" t="n"/>
      <c r="F301" s="30" t="n"/>
      <c r="G301" s="34">
        <f>IF(B301="","",DATE(YEAR(B301),MONTH(B301),1))</f>
        <v/>
      </c>
    </row>
    <row r="302">
      <c r="B302" s="32" t="n"/>
      <c r="C302" s="30" t="n"/>
      <c r="D302" s="30" t="n"/>
      <c r="E302" s="33" t="n"/>
      <c r="F302" s="30" t="n"/>
      <c r="G302" s="34">
        <f>IF(B302="","",DATE(YEAR(B302),MONTH(B302),1))</f>
        <v/>
      </c>
    </row>
    <row r="303">
      <c r="B303" s="32" t="n"/>
      <c r="C303" s="30" t="n"/>
      <c r="D303" s="30" t="n"/>
      <c r="E303" s="33" t="n"/>
      <c r="F303" s="30" t="n"/>
      <c r="G303" s="34">
        <f>IF(B303="","",DATE(YEAR(B303),MONTH(B303),1))</f>
        <v/>
      </c>
    </row>
    <row r="304">
      <c r="B304" s="32" t="n"/>
      <c r="C304" s="30" t="n"/>
      <c r="D304" s="30" t="n"/>
      <c r="E304" s="33" t="n"/>
      <c r="F304" s="30" t="n"/>
      <c r="G304" s="34">
        <f>IF(B304="","",DATE(YEAR(B304),MONTH(B304),1))</f>
        <v/>
      </c>
    </row>
    <row r="305">
      <c r="B305" s="32" t="n"/>
      <c r="C305" s="30" t="n"/>
      <c r="D305" s="30" t="n"/>
      <c r="E305" s="33" t="n"/>
      <c r="F305" s="30" t="n"/>
      <c r="G305" s="34">
        <f>IF(B305="","",DATE(YEAR(B305),MONTH(B305),1))</f>
        <v/>
      </c>
    </row>
    <row r="306">
      <c r="B306" s="32" t="n"/>
      <c r="C306" s="30" t="n"/>
      <c r="D306" s="30" t="n"/>
      <c r="E306" s="33" t="n"/>
      <c r="F306" s="30" t="n"/>
      <c r="G306" s="34">
        <f>IF(B306="","",DATE(YEAR(B306),MONTH(B306),1))</f>
        <v/>
      </c>
    </row>
    <row r="307">
      <c r="B307" s="32" t="n"/>
      <c r="C307" s="30" t="n"/>
      <c r="D307" s="30" t="n"/>
      <c r="E307" s="33" t="n"/>
      <c r="F307" s="30" t="n"/>
      <c r="G307" s="34">
        <f>IF(B307="","",DATE(YEAR(B307),MONTH(B307),1))</f>
        <v/>
      </c>
    </row>
    <row r="308">
      <c r="B308" s="32" t="n"/>
      <c r="C308" s="30" t="n"/>
      <c r="D308" s="30" t="n"/>
      <c r="E308" s="33" t="n"/>
      <c r="F308" s="30" t="n"/>
      <c r="G308" s="34">
        <f>IF(B308="","",DATE(YEAR(B308),MONTH(B308),1))</f>
        <v/>
      </c>
    </row>
    <row r="309">
      <c r="B309" s="32" t="n"/>
      <c r="C309" s="30" t="n"/>
      <c r="D309" s="30" t="n"/>
      <c r="E309" s="33" t="n"/>
      <c r="F309" s="30" t="n"/>
      <c r="G309" s="34">
        <f>IF(B309="","",DATE(YEAR(B309),MONTH(B309),1))</f>
        <v/>
      </c>
    </row>
    <row r="310">
      <c r="B310" s="32" t="n"/>
      <c r="C310" s="30" t="n"/>
      <c r="D310" s="30" t="n"/>
      <c r="E310" s="33" t="n"/>
      <c r="F310" s="30" t="n"/>
      <c r="G310" s="34">
        <f>IF(B310="","",DATE(YEAR(B310),MONTH(B310),1))</f>
        <v/>
      </c>
    </row>
    <row r="311">
      <c r="B311" s="32" t="n"/>
      <c r="C311" s="30" t="n"/>
      <c r="D311" s="30" t="n"/>
      <c r="E311" s="33" t="n"/>
      <c r="F311" s="30" t="n"/>
      <c r="G311" s="34">
        <f>IF(B311="","",DATE(YEAR(B311),MONTH(B311),1))</f>
        <v/>
      </c>
    </row>
    <row r="312">
      <c r="B312" s="32" t="n"/>
      <c r="C312" s="30" t="n"/>
      <c r="D312" s="30" t="n"/>
      <c r="E312" s="33" t="n"/>
      <c r="F312" s="30" t="n"/>
      <c r="G312" s="34">
        <f>IF(B312="","",DATE(YEAR(B312),MONTH(B312),1))</f>
        <v/>
      </c>
    </row>
    <row r="313">
      <c r="B313" s="32" t="n"/>
      <c r="C313" s="30" t="n"/>
      <c r="D313" s="30" t="n"/>
      <c r="E313" s="33" t="n"/>
      <c r="F313" s="30" t="n"/>
      <c r="G313" s="34">
        <f>IF(B313="","",DATE(YEAR(B313),MONTH(B313),1))</f>
        <v/>
      </c>
    </row>
    <row r="314">
      <c r="B314" s="32" t="n"/>
      <c r="C314" s="30" t="n"/>
      <c r="D314" s="30" t="n"/>
      <c r="E314" s="33" t="n"/>
      <c r="F314" s="30" t="n"/>
      <c r="G314" s="34">
        <f>IF(B314="","",DATE(YEAR(B314),MONTH(B314),1))</f>
        <v/>
      </c>
    </row>
    <row r="315">
      <c r="B315" s="32" t="n"/>
      <c r="C315" s="30" t="n"/>
      <c r="D315" s="30" t="n"/>
      <c r="E315" s="33" t="n"/>
      <c r="F315" s="30" t="n"/>
      <c r="G315" s="34">
        <f>IF(B315="","",DATE(YEAR(B315),MONTH(B315),1))</f>
        <v/>
      </c>
    </row>
    <row r="316">
      <c r="B316" s="32" t="n"/>
      <c r="C316" s="30" t="n"/>
      <c r="D316" s="30" t="n"/>
      <c r="E316" s="33" t="n"/>
      <c r="F316" s="30" t="n"/>
      <c r="G316" s="34">
        <f>IF(B316="","",DATE(YEAR(B316),MONTH(B316),1))</f>
        <v/>
      </c>
    </row>
    <row r="317">
      <c r="B317" s="32" t="n"/>
      <c r="C317" s="30" t="n"/>
      <c r="D317" s="30" t="n"/>
      <c r="E317" s="33" t="n"/>
      <c r="F317" s="30" t="n"/>
      <c r="G317" s="34">
        <f>IF(B317="","",DATE(YEAR(B317),MONTH(B317),1))</f>
        <v/>
      </c>
    </row>
    <row r="318">
      <c r="B318" s="32" t="n"/>
      <c r="C318" s="30" t="n"/>
      <c r="D318" s="30" t="n"/>
      <c r="E318" s="33" t="n"/>
      <c r="F318" s="30" t="n"/>
      <c r="G318" s="34">
        <f>IF(B318="","",DATE(YEAR(B318),MONTH(B318),1))</f>
        <v/>
      </c>
    </row>
    <row r="319">
      <c r="B319" s="32" t="n"/>
      <c r="C319" s="30" t="n"/>
      <c r="D319" s="30" t="n"/>
      <c r="E319" s="33" t="n"/>
      <c r="F319" s="30" t="n"/>
      <c r="G319" s="34">
        <f>IF(B319="","",DATE(YEAR(B319),MONTH(B319),1))</f>
        <v/>
      </c>
    </row>
    <row r="320">
      <c r="B320" s="32" t="n"/>
      <c r="C320" s="30" t="n"/>
      <c r="D320" s="30" t="n"/>
      <c r="E320" s="33" t="n"/>
      <c r="F320" s="30" t="n"/>
      <c r="G320" s="34">
        <f>IF(B320="","",DATE(YEAR(B320),MONTH(B320),1))</f>
        <v/>
      </c>
    </row>
    <row r="321">
      <c r="B321" s="32" t="n"/>
      <c r="C321" s="30" t="n"/>
      <c r="D321" s="30" t="n"/>
      <c r="E321" s="33" t="n"/>
      <c r="F321" s="30" t="n"/>
      <c r="G321" s="34">
        <f>IF(B321="","",DATE(YEAR(B321),MONTH(B321),1))</f>
        <v/>
      </c>
    </row>
    <row r="322">
      <c r="B322" s="32" t="n"/>
      <c r="C322" s="30" t="n"/>
      <c r="D322" s="30" t="n"/>
      <c r="E322" s="33" t="n"/>
      <c r="F322" s="30" t="n"/>
      <c r="G322" s="34">
        <f>IF(B322="","",DATE(YEAR(B322),MONTH(B322),1))</f>
        <v/>
      </c>
    </row>
    <row r="323">
      <c r="B323" s="32" t="n"/>
      <c r="C323" s="30" t="n"/>
      <c r="D323" s="30" t="n"/>
      <c r="E323" s="33" t="n"/>
      <c r="F323" s="30" t="n"/>
      <c r="G323" s="34">
        <f>IF(B323="","",DATE(YEAR(B323),MONTH(B323),1))</f>
        <v/>
      </c>
    </row>
    <row r="324">
      <c r="B324" s="32" t="n"/>
      <c r="C324" s="30" t="n"/>
      <c r="D324" s="30" t="n"/>
      <c r="E324" s="33" t="n"/>
      <c r="F324" s="30" t="n"/>
      <c r="G324" s="34">
        <f>IF(B324="","",DATE(YEAR(B324),MONTH(B324),1))</f>
        <v/>
      </c>
    </row>
    <row r="325">
      <c r="B325" s="32" t="n"/>
      <c r="C325" s="30" t="n"/>
      <c r="D325" s="30" t="n"/>
      <c r="E325" s="33" t="n"/>
      <c r="F325" s="30" t="n"/>
      <c r="G325" s="34">
        <f>IF(B325="","",DATE(YEAR(B325),MONTH(B325),1))</f>
        <v/>
      </c>
    </row>
    <row r="326">
      <c r="B326" s="32" t="n"/>
      <c r="C326" s="30" t="n"/>
      <c r="D326" s="30" t="n"/>
      <c r="E326" s="33" t="n"/>
      <c r="F326" s="30" t="n"/>
      <c r="G326" s="34">
        <f>IF(B326="","",DATE(YEAR(B326),MONTH(B326),1))</f>
        <v/>
      </c>
    </row>
    <row r="327">
      <c r="B327" s="32" t="n"/>
      <c r="C327" s="30" t="n"/>
      <c r="D327" s="30" t="n"/>
      <c r="E327" s="33" t="n"/>
      <c r="F327" s="30" t="n"/>
      <c r="G327" s="34">
        <f>IF(B327="","",DATE(YEAR(B327),MONTH(B327),1))</f>
        <v/>
      </c>
    </row>
    <row r="328">
      <c r="B328" s="32" t="n"/>
      <c r="C328" s="30" t="n"/>
      <c r="D328" s="30" t="n"/>
      <c r="E328" s="33" t="n"/>
      <c r="F328" s="30" t="n"/>
      <c r="G328" s="34">
        <f>IF(B328="","",DATE(YEAR(B328),MONTH(B328),1))</f>
        <v/>
      </c>
    </row>
    <row r="329">
      <c r="B329" s="32" t="n"/>
      <c r="C329" s="30" t="n"/>
      <c r="D329" s="30" t="n"/>
      <c r="E329" s="33" t="n"/>
      <c r="F329" s="30" t="n"/>
      <c r="G329" s="34">
        <f>IF(B329="","",DATE(YEAR(B329),MONTH(B329),1))</f>
        <v/>
      </c>
    </row>
    <row r="330">
      <c r="B330" s="32" t="n"/>
      <c r="C330" s="30" t="n"/>
      <c r="D330" s="30" t="n"/>
      <c r="E330" s="33" t="n"/>
      <c r="F330" s="30" t="n"/>
      <c r="G330" s="34">
        <f>IF(B330="","",DATE(YEAR(B330),MONTH(B330),1))</f>
        <v/>
      </c>
    </row>
    <row r="331">
      <c r="B331" s="32" t="n"/>
      <c r="C331" s="30" t="n"/>
      <c r="D331" s="30" t="n"/>
      <c r="E331" s="33" t="n"/>
      <c r="F331" s="30" t="n"/>
      <c r="G331" s="34">
        <f>IF(B331="","",DATE(YEAR(B331),MONTH(B331),1))</f>
        <v/>
      </c>
    </row>
    <row r="332">
      <c r="B332" s="32" t="n"/>
      <c r="C332" s="30" t="n"/>
      <c r="D332" s="30" t="n"/>
      <c r="E332" s="33" t="n"/>
      <c r="F332" s="30" t="n"/>
      <c r="G332" s="34">
        <f>IF(B332="","",DATE(YEAR(B332),MONTH(B332),1))</f>
        <v/>
      </c>
    </row>
    <row r="333">
      <c r="B333" s="32" t="n"/>
      <c r="C333" s="30" t="n"/>
      <c r="D333" s="30" t="n"/>
      <c r="E333" s="33" t="n"/>
      <c r="F333" s="30" t="n"/>
      <c r="G333" s="34">
        <f>IF(B333="","",DATE(YEAR(B333),MONTH(B333),1))</f>
        <v/>
      </c>
    </row>
    <row r="334">
      <c r="B334" s="32" t="n"/>
      <c r="C334" s="30" t="n"/>
      <c r="D334" s="30" t="n"/>
      <c r="E334" s="33" t="n"/>
      <c r="F334" s="30" t="n"/>
      <c r="G334" s="34">
        <f>IF(B334="","",DATE(YEAR(B334),MONTH(B334),1))</f>
        <v/>
      </c>
    </row>
    <row r="335">
      <c r="B335" s="32" t="n"/>
      <c r="C335" s="30" t="n"/>
      <c r="D335" s="30" t="n"/>
      <c r="E335" s="33" t="n"/>
      <c r="F335" s="30" t="n"/>
      <c r="G335" s="34">
        <f>IF(B335="","",DATE(YEAR(B335),MONTH(B335),1))</f>
        <v/>
      </c>
    </row>
    <row r="336">
      <c r="B336" s="32" t="n"/>
      <c r="C336" s="30" t="n"/>
      <c r="D336" s="30" t="n"/>
      <c r="E336" s="33" t="n"/>
      <c r="F336" s="30" t="n"/>
      <c r="G336" s="34">
        <f>IF(B336="","",DATE(YEAR(B336),MONTH(B336),1))</f>
        <v/>
      </c>
    </row>
    <row r="337">
      <c r="B337" s="32" t="n"/>
      <c r="C337" s="30" t="n"/>
      <c r="D337" s="30" t="n"/>
      <c r="E337" s="33" t="n"/>
      <c r="F337" s="30" t="n"/>
      <c r="G337" s="34">
        <f>IF(B337="","",DATE(YEAR(B337),MONTH(B337),1))</f>
        <v/>
      </c>
    </row>
    <row r="338">
      <c r="B338" s="32" t="n"/>
      <c r="C338" s="30" t="n"/>
      <c r="D338" s="30" t="n"/>
      <c r="E338" s="33" t="n"/>
      <c r="F338" s="30" t="n"/>
      <c r="G338" s="34">
        <f>IF(B338="","",DATE(YEAR(B338),MONTH(B338),1))</f>
        <v/>
      </c>
    </row>
    <row r="339">
      <c r="B339" s="32" t="n"/>
      <c r="C339" s="30" t="n"/>
      <c r="D339" s="30" t="n"/>
      <c r="E339" s="33" t="n"/>
      <c r="F339" s="30" t="n"/>
      <c r="G339" s="34">
        <f>IF(B339="","",DATE(YEAR(B339),MONTH(B339),1))</f>
        <v/>
      </c>
    </row>
    <row r="340">
      <c r="B340" s="32" t="n"/>
      <c r="C340" s="30" t="n"/>
      <c r="D340" s="30" t="n"/>
      <c r="E340" s="33" t="n"/>
      <c r="F340" s="30" t="n"/>
      <c r="G340" s="34">
        <f>IF(B340="","",DATE(YEAR(B340),MONTH(B340),1))</f>
        <v/>
      </c>
    </row>
    <row r="341">
      <c r="B341" s="32" t="n"/>
      <c r="C341" s="30" t="n"/>
      <c r="D341" s="30" t="n"/>
      <c r="E341" s="33" t="n"/>
      <c r="F341" s="30" t="n"/>
      <c r="G341" s="34">
        <f>IF(B341="","",DATE(YEAR(B341),MONTH(B341),1))</f>
        <v/>
      </c>
    </row>
    <row r="342">
      <c r="B342" s="32" t="n"/>
      <c r="C342" s="30" t="n"/>
      <c r="D342" s="30" t="n"/>
      <c r="E342" s="33" t="n"/>
      <c r="F342" s="30" t="n"/>
      <c r="G342" s="34">
        <f>IF(B342="","",DATE(YEAR(B342),MONTH(B342),1))</f>
        <v/>
      </c>
    </row>
    <row r="343">
      <c r="B343" s="32" t="n"/>
      <c r="C343" s="30" t="n"/>
      <c r="D343" s="30" t="n"/>
      <c r="E343" s="33" t="n"/>
      <c r="F343" s="30" t="n"/>
      <c r="G343" s="34">
        <f>IF(B343="","",DATE(YEAR(B343),MONTH(B343),1))</f>
        <v/>
      </c>
    </row>
    <row r="344">
      <c r="B344" s="32" t="n"/>
      <c r="C344" s="30" t="n"/>
      <c r="D344" s="30" t="n"/>
      <c r="E344" s="33" t="n"/>
      <c r="F344" s="30" t="n"/>
      <c r="G344" s="34">
        <f>IF(B344="","",DATE(YEAR(B344),MONTH(B344),1))</f>
        <v/>
      </c>
    </row>
    <row r="345">
      <c r="B345" s="32" t="n"/>
      <c r="C345" s="30" t="n"/>
      <c r="D345" s="30" t="n"/>
      <c r="E345" s="33" t="n"/>
      <c r="F345" s="30" t="n"/>
      <c r="G345" s="34">
        <f>IF(B345="","",DATE(YEAR(B345),MONTH(B345),1))</f>
        <v/>
      </c>
    </row>
    <row r="346">
      <c r="B346" s="32" t="n"/>
      <c r="C346" s="30" t="n"/>
      <c r="D346" s="30" t="n"/>
      <c r="E346" s="33" t="n"/>
      <c r="F346" s="30" t="n"/>
      <c r="G346" s="34">
        <f>IF(B346="","",DATE(YEAR(B346),MONTH(B346),1))</f>
        <v/>
      </c>
    </row>
    <row r="347">
      <c r="B347" s="32" t="n"/>
      <c r="C347" s="30" t="n"/>
      <c r="D347" s="30" t="n"/>
      <c r="E347" s="33" t="n"/>
      <c r="F347" s="30" t="n"/>
      <c r="G347" s="34">
        <f>IF(B347="","",DATE(YEAR(B347),MONTH(B347),1))</f>
        <v/>
      </c>
    </row>
    <row r="348">
      <c r="B348" s="32" t="n"/>
      <c r="C348" s="30" t="n"/>
      <c r="D348" s="30" t="n"/>
      <c r="E348" s="33" t="n"/>
      <c r="F348" s="30" t="n"/>
      <c r="G348" s="34">
        <f>IF(B348="","",DATE(YEAR(B348),MONTH(B348),1))</f>
        <v/>
      </c>
    </row>
    <row r="349">
      <c r="B349" s="32" t="n"/>
      <c r="C349" s="30" t="n"/>
      <c r="D349" s="30" t="n"/>
      <c r="E349" s="33" t="n"/>
      <c r="F349" s="30" t="n"/>
      <c r="G349" s="34">
        <f>IF(B349="","",DATE(YEAR(B349),MONTH(B349),1))</f>
        <v/>
      </c>
    </row>
    <row r="350">
      <c r="B350" s="32" t="n"/>
      <c r="C350" s="30" t="n"/>
      <c r="D350" s="30" t="n"/>
      <c r="E350" s="33" t="n"/>
      <c r="F350" s="30" t="n"/>
      <c r="G350" s="34">
        <f>IF(B350="","",DATE(YEAR(B350),MONTH(B350),1))</f>
        <v/>
      </c>
    </row>
    <row r="351">
      <c r="B351" s="32" t="n"/>
      <c r="C351" s="30" t="n"/>
      <c r="D351" s="30" t="n"/>
      <c r="E351" s="33" t="n"/>
      <c r="F351" s="30" t="n"/>
      <c r="G351" s="34">
        <f>IF(B351="","",DATE(YEAR(B351),MONTH(B351),1))</f>
        <v/>
      </c>
    </row>
    <row r="352">
      <c r="B352" s="32" t="n"/>
      <c r="C352" s="30" t="n"/>
      <c r="D352" s="30" t="n"/>
      <c r="E352" s="33" t="n"/>
      <c r="F352" s="30" t="n"/>
      <c r="G352" s="34">
        <f>IF(B352="","",DATE(YEAR(B352),MONTH(B352),1))</f>
        <v/>
      </c>
    </row>
    <row r="353">
      <c r="B353" s="32" t="n"/>
      <c r="C353" s="30" t="n"/>
      <c r="D353" s="30" t="n"/>
      <c r="E353" s="33" t="n"/>
      <c r="F353" s="30" t="n"/>
      <c r="G353" s="34">
        <f>IF(B353="","",DATE(YEAR(B353),MONTH(B353),1))</f>
        <v/>
      </c>
    </row>
    <row r="354">
      <c r="B354" s="32" t="n"/>
      <c r="C354" s="30" t="n"/>
      <c r="D354" s="30" t="n"/>
      <c r="E354" s="33" t="n"/>
      <c r="F354" s="30" t="n"/>
      <c r="G354" s="34">
        <f>IF(B354="","",DATE(YEAR(B354),MONTH(B354),1))</f>
        <v/>
      </c>
    </row>
    <row r="355">
      <c r="B355" s="32" t="n"/>
      <c r="C355" s="30" t="n"/>
      <c r="D355" s="30" t="n"/>
      <c r="E355" s="33" t="n"/>
      <c r="F355" s="30" t="n"/>
      <c r="G355" s="34">
        <f>IF(B355="","",DATE(YEAR(B355),MONTH(B355),1))</f>
        <v/>
      </c>
    </row>
    <row r="356">
      <c r="B356" s="32" t="n"/>
      <c r="C356" s="30" t="n"/>
      <c r="D356" s="30" t="n"/>
      <c r="E356" s="33" t="n"/>
      <c r="F356" s="30" t="n"/>
      <c r="G356" s="34">
        <f>IF(B356="","",DATE(YEAR(B356),MONTH(B356),1))</f>
        <v/>
      </c>
    </row>
    <row r="357">
      <c r="B357" s="32" t="n"/>
      <c r="C357" s="30" t="n"/>
      <c r="D357" s="30" t="n"/>
      <c r="E357" s="33" t="n"/>
      <c r="F357" s="30" t="n"/>
      <c r="G357" s="34">
        <f>IF(B357="","",DATE(YEAR(B357),MONTH(B357),1))</f>
        <v/>
      </c>
    </row>
    <row r="358">
      <c r="B358" s="32" t="n"/>
      <c r="C358" s="30" t="n"/>
      <c r="D358" s="30" t="n"/>
      <c r="E358" s="33" t="n"/>
      <c r="F358" s="30" t="n"/>
      <c r="G358" s="34">
        <f>IF(B358="","",DATE(YEAR(B358),MONTH(B358),1))</f>
        <v/>
      </c>
    </row>
    <row r="359">
      <c r="B359" s="32" t="n"/>
      <c r="C359" s="30" t="n"/>
      <c r="D359" s="30" t="n"/>
      <c r="E359" s="33" t="n"/>
      <c r="F359" s="30" t="n"/>
      <c r="G359" s="34">
        <f>IF(B359="","",DATE(YEAR(B359),MONTH(B359),1))</f>
        <v/>
      </c>
    </row>
    <row r="360">
      <c r="B360" s="32" t="n"/>
      <c r="C360" s="30" t="n"/>
      <c r="D360" s="30" t="n"/>
      <c r="E360" s="33" t="n"/>
      <c r="F360" s="30" t="n"/>
      <c r="G360" s="34">
        <f>IF(B360="","",DATE(YEAR(B360),MONTH(B360),1))</f>
        <v/>
      </c>
    </row>
    <row r="361">
      <c r="B361" s="32" t="n"/>
      <c r="C361" s="30" t="n"/>
      <c r="D361" s="30" t="n"/>
      <c r="E361" s="33" t="n"/>
      <c r="F361" s="30" t="n"/>
      <c r="G361" s="34">
        <f>IF(B361="","",DATE(YEAR(B361),MONTH(B361),1))</f>
        <v/>
      </c>
    </row>
    <row r="362">
      <c r="B362" s="32" t="n"/>
      <c r="C362" s="30" t="n"/>
      <c r="D362" s="30" t="n"/>
      <c r="E362" s="33" t="n"/>
      <c r="F362" s="30" t="n"/>
      <c r="G362" s="34">
        <f>IF(B362="","",DATE(YEAR(B362),MONTH(B362),1))</f>
        <v/>
      </c>
    </row>
    <row r="363">
      <c r="B363" s="32" t="n"/>
      <c r="C363" s="30" t="n"/>
      <c r="D363" s="30" t="n"/>
      <c r="E363" s="33" t="n"/>
      <c r="F363" s="30" t="n"/>
      <c r="G363" s="34">
        <f>IF(B363="","",DATE(YEAR(B363),MONTH(B363),1))</f>
        <v/>
      </c>
    </row>
    <row r="364">
      <c r="B364" s="32" t="n"/>
      <c r="C364" s="30" t="n"/>
      <c r="D364" s="30" t="n"/>
      <c r="E364" s="33" t="n"/>
      <c r="F364" s="30" t="n"/>
      <c r="G364" s="34">
        <f>IF(B364="","",DATE(YEAR(B364),MONTH(B364),1))</f>
        <v/>
      </c>
    </row>
    <row r="365">
      <c r="B365" s="32" t="n"/>
      <c r="C365" s="30" t="n"/>
      <c r="D365" s="30" t="n"/>
      <c r="E365" s="33" t="n"/>
      <c r="F365" s="30" t="n"/>
      <c r="G365" s="34">
        <f>IF(B365="","",DATE(YEAR(B365),MONTH(B365),1))</f>
        <v/>
      </c>
    </row>
    <row r="366">
      <c r="B366" s="32" t="n"/>
      <c r="C366" s="30" t="n"/>
      <c r="D366" s="30" t="n"/>
      <c r="E366" s="33" t="n"/>
      <c r="F366" s="30" t="n"/>
      <c r="G366" s="34">
        <f>IF(B366="","",DATE(YEAR(B366),MONTH(B366),1))</f>
        <v/>
      </c>
    </row>
    <row r="367">
      <c r="B367" s="32" t="n"/>
      <c r="C367" s="30" t="n"/>
      <c r="D367" s="30" t="n"/>
      <c r="E367" s="33" t="n"/>
      <c r="F367" s="30" t="n"/>
      <c r="G367" s="34">
        <f>IF(B367="","",DATE(YEAR(B367),MONTH(B367),1))</f>
        <v/>
      </c>
    </row>
    <row r="368">
      <c r="B368" s="32" t="n"/>
      <c r="C368" s="30" t="n"/>
      <c r="D368" s="30" t="n"/>
      <c r="E368" s="33" t="n"/>
      <c r="F368" s="30" t="n"/>
      <c r="G368" s="34">
        <f>IF(B368="","",DATE(YEAR(B368),MONTH(B368),1))</f>
        <v/>
      </c>
    </row>
    <row r="369">
      <c r="B369" s="32" t="n"/>
      <c r="C369" s="30" t="n"/>
      <c r="D369" s="30" t="n"/>
      <c r="E369" s="33" t="n"/>
      <c r="F369" s="30" t="n"/>
      <c r="G369" s="34">
        <f>IF(B369="","",DATE(YEAR(B369),MONTH(B369),1))</f>
        <v/>
      </c>
    </row>
    <row r="370">
      <c r="B370" s="32" t="n"/>
      <c r="C370" s="30" t="n"/>
      <c r="D370" s="30" t="n"/>
      <c r="E370" s="33" t="n"/>
      <c r="F370" s="30" t="n"/>
      <c r="G370" s="34">
        <f>IF(B370="","",DATE(YEAR(B370),MONTH(B370),1))</f>
        <v/>
      </c>
    </row>
    <row r="371">
      <c r="B371" s="32" t="n"/>
      <c r="C371" s="30" t="n"/>
      <c r="D371" s="30" t="n"/>
      <c r="E371" s="33" t="n"/>
      <c r="F371" s="30" t="n"/>
      <c r="G371" s="34">
        <f>IF(B371="","",DATE(YEAR(B371),MONTH(B371),1))</f>
        <v/>
      </c>
    </row>
    <row r="372">
      <c r="B372" s="32" t="n"/>
      <c r="C372" s="30" t="n"/>
      <c r="D372" s="30" t="n"/>
      <c r="E372" s="33" t="n"/>
      <c r="F372" s="30" t="n"/>
      <c r="G372" s="34">
        <f>IF(B372="","",DATE(YEAR(B372),MONTH(B372),1))</f>
        <v/>
      </c>
    </row>
    <row r="373">
      <c r="B373" s="32" t="n"/>
      <c r="C373" s="30" t="n"/>
      <c r="D373" s="30" t="n"/>
      <c r="E373" s="33" t="n"/>
      <c r="F373" s="30" t="n"/>
      <c r="G373" s="34">
        <f>IF(B373="","",DATE(YEAR(B373),MONTH(B373),1))</f>
        <v/>
      </c>
    </row>
    <row r="374">
      <c r="B374" s="32" t="n"/>
      <c r="C374" s="30" t="n"/>
      <c r="D374" s="30" t="n"/>
      <c r="E374" s="33" t="n"/>
      <c r="F374" s="30" t="n"/>
      <c r="G374" s="34">
        <f>IF(B374="","",DATE(YEAR(B374),MONTH(B374),1))</f>
        <v/>
      </c>
    </row>
    <row r="375">
      <c r="B375" s="32" t="n"/>
      <c r="C375" s="30" t="n"/>
      <c r="D375" s="30" t="n"/>
      <c r="E375" s="33" t="n"/>
      <c r="F375" s="30" t="n"/>
      <c r="G375" s="34">
        <f>IF(B375="","",DATE(YEAR(B375),MONTH(B375),1))</f>
        <v/>
      </c>
    </row>
    <row r="376">
      <c r="B376" s="32" t="n"/>
      <c r="C376" s="30" t="n"/>
      <c r="D376" s="30" t="n"/>
      <c r="E376" s="33" t="n"/>
      <c r="F376" s="30" t="n"/>
      <c r="G376" s="34">
        <f>IF(B376="","",DATE(YEAR(B376),MONTH(B376),1))</f>
        <v/>
      </c>
    </row>
    <row r="377">
      <c r="B377" s="32" t="n"/>
      <c r="C377" s="30" t="n"/>
      <c r="D377" s="30" t="n"/>
      <c r="E377" s="33" t="n"/>
      <c r="F377" s="30" t="n"/>
      <c r="G377" s="34">
        <f>IF(B377="","",DATE(YEAR(B377),MONTH(B377),1))</f>
        <v/>
      </c>
    </row>
    <row r="378">
      <c r="B378" s="32" t="n"/>
      <c r="C378" s="30" t="n"/>
      <c r="D378" s="30" t="n"/>
      <c r="E378" s="33" t="n"/>
      <c r="F378" s="30" t="n"/>
      <c r="G378" s="34">
        <f>IF(B378="","",DATE(YEAR(B378),MONTH(B378),1))</f>
        <v/>
      </c>
    </row>
    <row r="379">
      <c r="B379" s="32" t="n"/>
      <c r="C379" s="30" t="n"/>
      <c r="D379" s="30" t="n"/>
      <c r="E379" s="33" t="n"/>
      <c r="F379" s="30" t="n"/>
      <c r="G379" s="34">
        <f>IF(B379="","",DATE(YEAR(B379),MONTH(B379),1))</f>
        <v/>
      </c>
    </row>
    <row r="380">
      <c r="B380" s="32" t="n"/>
      <c r="C380" s="30" t="n"/>
      <c r="D380" s="30" t="n"/>
      <c r="E380" s="33" t="n"/>
      <c r="F380" s="30" t="n"/>
      <c r="G380" s="34">
        <f>IF(B380="","",DATE(YEAR(B380),MONTH(B380),1))</f>
        <v/>
      </c>
    </row>
    <row r="381">
      <c r="B381" s="32" t="n"/>
      <c r="C381" s="30" t="n"/>
      <c r="D381" s="30" t="n"/>
      <c r="E381" s="33" t="n"/>
      <c r="F381" s="30" t="n"/>
      <c r="G381" s="34">
        <f>IF(B381="","",DATE(YEAR(B381),MONTH(B381),1))</f>
        <v/>
      </c>
    </row>
    <row r="382">
      <c r="B382" s="32" t="n"/>
      <c r="C382" s="30" t="n"/>
      <c r="D382" s="30" t="n"/>
      <c r="E382" s="33" t="n"/>
      <c r="F382" s="30" t="n"/>
      <c r="G382" s="34">
        <f>IF(B382="","",DATE(YEAR(B382),MONTH(B382),1))</f>
        <v/>
      </c>
    </row>
    <row r="383">
      <c r="B383" s="32" t="n"/>
      <c r="C383" s="30" t="n"/>
      <c r="D383" s="30" t="n"/>
      <c r="E383" s="33" t="n"/>
      <c r="F383" s="30" t="n"/>
      <c r="G383" s="34">
        <f>IF(B383="","",DATE(YEAR(B383),MONTH(B383),1))</f>
        <v/>
      </c>
    </row>
    <row r="384">
      <c r="B384" s="32" t="n"/>
      <c r="C384" s="30" t="n"/>
      <c r="D384" s="30" t="n"/>
      <c r="E384" s="33" t="n"/>
      <c r="F384" s="30" t="n"/>
      <c r="G384" s="34">
        <f>IF(B384="","",DATE(YEAR(B384),MONTH(B384),1))</f>
        <v/>
      </c>
    </row>
    <row r="385">
      <c r="B385" s="32" t="n"/>
      <c r="C385" s="30" t="n"/>
      <c r="D385" s="30" t="n"/>
      <c r="E385" s="33" t="n"/>
      <c r="F385" s="30" t="n"/>
      <c r="G385" s="34">
        <f>IF(B385="","",DATE(YEAR(B385),MONTH(B385),1))</f>
        <v/>
      </c>
    </row>
    <row r="386">
      <c r="B386" s="32" t="n"/>
      <c r="C386" s="30" t="n"/>
      <c r="D386" s="30" t="n"/>
      <c r="E386" s="33" t="n"/>
      <c r="F386" s="30" t="n"/>
      <c r="G386" s="34">
        <f>IF(B386="","",DATE(YEAR(B386),MONTH(B386),1))</f>
        <v/>
      </c>
    </row>
    <row r="387">
      <c r="B387" s="32" t="n"/>
      <c r="C387" s="30" t="n"/>
      <c r="D387" s="30" t="n"/>
      <c r="E387" s="33" t="n"/>
      <c r="F387" s="30" t="n"/>
      <c r="G387" s="34">
        <f>IF(B387="","",DATE(YEAR(B387),MONTH(B387),1))</f>
        <v/>
      </c>
    </row>
    <row r="388">
      <c r="B388" s="32" t="n"/>
      <c r="C388" s="30" t="n"/>
      <c r="D388" s="30" t="n"/>
      <c r="E388" s="33" t="n"/>
      <c r="F388" s="30" t="n"/>
      <c r="G388" s="34">
        <f>IF(B388="","",DATE(YEAR(B388),MONTH(B388),1))</f>
        <v/>
      </c>
    </row>
    <row r="389">
      <c r="B389" s="32" t="n"/>
      <c r="C389" s="30" t="n"/>
      <c r="D389" s="30" t="n"/>
      <c r="E389" s="33" t="n"/>
      <c r="F389" s="30" t="n"/>
      <c r="G389" s="34">
        <f>IF(B389="","",DATE(YEAR(B389),MONTH(B389),1))</f>
        <v/>
      </c>
    </row>
    <row r="390">
      <c r="B390" s="32" t="n"/>
      <c r="C390" s="30" t="n"/>
      <c r="D390" s="30" t="n"/>
      <c r="E390" s="33" t="n"/>
      <c r="F390" s="30" t="n"/>
      <c r="G390" s="34">
        <f>IF(B390="","",DATE(YEAR(B390),MONTH(B390),1))</f>
        <v/>
      </c>
    </row>
    <row r="391">
      <c r="B391" s="32" t="n"/>
      <c r="C391" s="30" t="n"/>
      <c r="D391" s="30" t="n"/>
      <c r="E391" s="33" t="n"/>
      <c r="F391" s="30" t="n"/>
      <c r="G391" s="34">
        <f>IF(B391="","",DATE(YEAR(B391),MONTH(B391),1))</f>
        <v/>
      </c>
    </row>
    <row r="392">
      <c r="B392" s="32" t="n"/>
      <c r="C392" s="30" t="n"/>
      <c r="D392" s="30" t="n"/>
      <c r="E392" s="33" t="n"/>
      <c r="F392" s="30" t="n"/>
      <c r="G392" s="34">
        <f>IF(B392="","",DATE(YEAR(B392),MONTH(B392),1))</f>
        <v/>
      </c>
    </row>
    <row r="393">
      <c r="B393" s="32" t="n"/>
      <c r="C393" s="30" t="n"/>
      <c r="D393" s="30" t="n"/>
      <c r="E393" s="33" t="n"/>
      <c r="F393" s="30" t="n"/>
      <c r="G393" s="34">
        <f>IF(B393="","",DATE(YEAR(B393),MONTH(B393),1))</f>
        <v/>
      </c>
    </row>
    <row r="394">
      <c r="B394" s="32" t="n"/>
      <c r="C394" s="30" t="n"/>
      <c r="D394" s="30" t="n"/>
      <c r="E394" s="33" t="n"/>
      <c r="F394" s="30" t="n"/>
      <c r="G394" s="34">
        <f>IF(B394="","",DATE(YEAR(B394),MONTH(B394),1))</f>
        <v/>
      </c>
    </row>
    <row r="395">
      <c r="B395" s="32" t="n"/>
      <c r="C395" s="30" t="n"/>
      <c r="D395" s="30" t="n"/>
      <c r="E395" s="33" t="n"/>
      <c r="F395" s="30" t="n"/>
      <c r="G395" s="34">
        <f>IF(B395="","",DATE(YEAR(B395),MONTH(B395),1))</f>
        <v/>
      </c>
    </row>
    <row r="396">
      <c r="B396" s="32" t="n"/>
      <c r="C396" s="30" t="n"/>
      <c r="D396" s="30" t="n"/>
      <c r="E396" s="33" t="n"/>
      <c r="F396" s="30" t="n"/>
      <c r="G396" s="34">
        <f>IF(B396="","",DATE(YEAR(B396),MONTH(B396),1))</f>
        <v/>
      </c>
    </row>
    <row r="397">
      <c r="B397" s="32" t="n"/>
      <c r="C397" s="30" t="n"/>
      <c r="D397" s="30" t="n"/>
      <c r="E397" s="33" t="n"/>
      <c r="F397" s="30" t="n"/>
      <c r="G397" s="34">
        <f>IF(B397="","",DATE(YEAR(B397),MONTH(B397),1))</f>
        <v/>
      </c>
    </row>
    <row r="398">
      <c r="B398" s="32" t="n"/>
      <c r="C398" s="30" t="n"/>
      <c r="D398" s="30" t="n"/>
      <c r="E398" s="33" t="n"/>
      <c r="F398" s="30" t="n"/>
      <c r="G398" s="34">
        <f>IF(B398="","",DATE(YEAR(B398),MONTH(B398),1))</f>
        <v/>
      </c>
    </row>
    <row r="399">
      <c r="B399" s="32" t="n"/>
      <c r="C399" s="30" t="n"/>
      <c r="D399" s="30" t="n"/>
      <c r="E399" s="33" t="n"/>
      <c r="F399" s="30" t="n"/>
      <c r="G399" s="34">
        <f>IF(B399="","",DATE(YEAR(B399),MONTH(B399),1))</f>
        <v/>
      </c>
    </row>
    <row r="400">
      <c r="B400" s="32" t="n"/>
      <c r="C400" s="30" t="n"/>
      <c r="D400" s="30" t="n"/>
      <c r="E400" s="33" t="n"/>
      <c r="F400" s="30" t="n"/>
      <c r="G400" s="34">
        <f>IF(B400="","",DATE(YEAR(B400),MONTH(B400),1))</f>
        <v/>
      </c>
    </row>
    <row r="401">
      <c r="B401" s="32" t="n"/>
      <c r="C401" s="30" t="n"/>
      <c r="D401" s="30" t="n"/>
      <c r="E401" s="33" t="n"/>
      <c r="F401" s="30" t="n"/>
      <c r="G401" s="34">
        <f>IF(B401="","",DATE(YEAR(B401),MONTH(B401),1))</f>
        <v/>
      </c>
    </row>
    <row r="402">
      <c r="B402" s="32" t="n"/>
      <c r="C402" s="30" t="n"/>
      <c r="D402" s="30" t="n"/>
      <c r="E402" s="33" t="n"/>
      <c r="F402" s="30" t="n"/>
      <c r="G402" s="34">
        <f>IF(B402="","",DATE(YEAR(B402),MONTH(B402),1))</f>
        <v/>
      </c>
    </row>
    <row r="403">
      <c r="B403" s="32" t="n"/>
      <c r="C403" s="30" t="n"/>
      <c r="D403" s="30" t="n"/>
      <c r="E403" s="33" t="n"/>
      <c r="F403" s="30" t="n"/>
      <c r="G403" s="34">
        <f>IF(B403="","",DATE(YEAR(B403),MONTH(B403),1))</f>
        <v/>
      </c>
    </row>
    <row r="404">
      <c r="B404" s="32" t="n"/>
      <c r="C404" s="30" t="n"/>
      <c r="D404" s="30" t="n"/>
      <c r="E404" s="33" t="n"/>
      <c r="F404" s="30" t="n"/>
      <c r="G404" s="34">
        <f>IF(B404="","",DATE(YEAR(B404),MONTH(B404),1))</f>
        <v/>
      </c>
    </row>
    <row r="405">
      <c r="B405" s="32" t="n"/>
      <c r="C405" s="30" t="n"/>
      <c r="D405" s="30" t="n"/>
      <c r="E405" s="33" t="n"/>
      <c r="F405" s="30" t="n"/>
      <c r="G405" s="34">
        <f>IF(B405="","",DATE(YEAR(B405),MONTH(B405),1))</f>
        <v/>
      </c>
    </row>
    <row r="406">
      <c r="B406" s="32" t="n"/>
      <c r="C406" s="30" t="n"/>
      <c r="D406" s="30" t="n"/>
      <c r="E406" s="33" t="n"/>
      <c r="F406" s="30" t="n"/>
      <c r="G406" s="34">
        <f>IF(B406="","",DATE(YEAR(B406),MONTH(B406),1))</f>
        <v/>
      </c>
    </row>
    <row r="407">
      <c r="B407" s="32" t="n"/>
      <c r="C407" s="30" t="n"/>
      <c r="D407" s="30" t="n"/>
      <c r="E407" s="33" t="n"/>
      <c r="F407" s="30" t="n"/>
      <c r="G407" s="34">
        <f>IF(B407="","",DATE(YEAR(B407),MONTH(B407),1))</f>
        <v/>
      </c>
    </row>
    <row r="408">
      <c r="B408" s="32" t="n"/>
      <c r="C408" s="30" t="n"/>
      <c r="D408" s="30" t="n"/>
      <c r="E408" s="33" t="n"/>
      <c r="F408" s="30" t="n"/>
      <c r="G408" s="34">
        <f>IF(B408="","",DATE(YEAR(B408),MONTH(B408),1))</f>
        <v/>
      </c>
    </row>
    <row r="409">
      <c r="B409" s="32" t="n"/>
      <c r="C409" s="30" t="n"/>
      <c r="D409" s="30" t="n"/>
      <c r="E409" s="33" t="n"/>
      <c r="F409" s="30" t="n"/>
      <c r="G409" s="34">
        <f>IF(B409="","",DATE(YEAR(B409),MONTH(B409),1))</f>
        <v/>
      </c>
    </row>
    <row r="410">
      <c r="B410" s="32" t="n"/>
      <c r="C410" s="30" t="n"/>
      <c r="D410" s="30" t="n"/>
      <c r="E410" s="33" t="n"/>
      <c r="F410" s="30" t="n"/>
      <c r="G410" s="34">
        <f>IF(B410="","",DATE(YEAR(B410),MONTH(B410),1))</f>
        <v/>
      </c>
    </row>
    <row r="411">
      <c r="B411" s="32" t="n"/>
      <c r="C411" s="30" t="n"/>
      <c r="D411" s="30" t="n"/>
      <c r="E411" s="33" t="n"/>
      <c r="F411" s="30" t="n"/>
      <c r="G411" s="34">
        <f>IF(B411="","",DATE(YEAR(B411),MONTH(B411),1))</f>
        <v/>
      </c>
    </row>
    <row r="412">
      <c r="B412" s="32" t="n"/>
      <c r="C412" s="30" t="n"/>
      <c r="D412" s="30" t="n"/>
      <c r="E412" s="33" t="n"/>
      <c r="F412" s="30" t="n"/>
      <c r="G412" s="34">
        <f>IF(B412="","",DATE(YEAR(B412),MONTH(B412),1))</f>
        <v/>
      </c>
    </row>
    <row r="413">
      <c r="B413" s="32" t="n"/>
      <c r="C413" s="30" t="n"/>
      <c r="D413" s="30" t="n"/>
      <c r="E413" s="33" t="n"/>
      <c r="F413" s="30" t="n"/>
      <c r="G413" s="34">
        <f>IF(B413="","",DATE(YEAR(B413),MONTH(B413),1))</f>
        <v/>
      </c>
    </row>
    <row r="414">
      <c r="B414" s="32" t="n"/>
      <c r="C414" s="30" t="n"/>
      <c r="D414" s="30" t="n"/>
      <c r="E414" s="33" t="n"/>
      <c r="F414" s="30" t="n"/>
      <c r="G414" s="34">
        <f>IF(B414="","",DATE(YEAR(B414),MONTH(B414),1))</f>
        <v/>
      </c>
    </row>
    <row r="415">
      <c r="B415" s="32" t="n"/>
      <c r="C415" s="30" t="n"/>
      <c r="D415" s="30" t="n"/>
      <c r="E415" s="33" t="n"/>
      <c r="F415" s="30" t="n"/>
      <c r="G415" s="34">
        <f>IF(B415="","",DATE(YEAR(B415),MONTH(B415),1))</f>
        <v/>
      </c>
    </row>
    <row r="416">
      <c r="B416" s="32" t="n"/>
      <c r="C416" s="30" t="n"/>
      <c r="D416" s="30" t="n"/>
      <c r="E416" s="33" t="n"/>
      <c r="F416" s="30" t="n"/>
      <c r="G416" s="34">
        <f>IF(B416="","",DATE(YEAR(B416),MONTH(B416),1))</f>
        <v/>
      </c>
    </row>
    <row r="417">
      <c r="B417" s="32" t="n"/>
      <c r="C417" s="30" t="n"/>
      <c r="D417" s="30" t="n"/>
      <c r="E417" s="33" t="n"/>
      <c r="F417" s="30" t="n"/>
      <c r="G417" s="34">
        <f>IF(B417="","",DATE(YEAR(B417),MONTH(B417),1))</f>
        <v/>
      </c>
    </row>
    <row r="418">
      <c r="B418" s="32" t="n"/>
      <c r="C418" s="30" t="n"/>
      <c r="D418" s="30" t="n"/>
      <c r="E418" s="33" t="n"/>
      <c r="F418" s="30" t="n"/>
      <c r="G418" s="34">
        <f>IF(B418="","",DATE(YEAR(B418),MONTH(B418),1))</f>
        <v/>
      </c>
    </row>
    <row r="419">
      <c r="B419" s="32" t="n"/>
      <c r="C419" s="30" t="n"/>
      <c r="D419" s="30" t="n"/>
      <c r="E419" s="33" t="n"/>
      <c r="F419" s="30" t="n"/>
      <c r="G419" s="34">
        <f>IF(B419="","",DATE(YEAR(B419),MONTH(B419),1))</f>
        <v/>
      </c>
    </row>
    <row r="420">
      <c r="B420" s="32" t="n"/>
      <c r="C420" s="30" t="n"/>
      <c r="D420" s="30" t="n"/>
      <c r="E420" s="33" t="n"/>
      <c r="F420" s="30" t="n"/>
      <c r="G420" s="34">
        <f>IF(B420="","",DATE(YEAR(B420),MONTH(B420),1))</f>
        <v/>
      </c>
    </row>
    <row r="421">
      <c r="B421" s="32" t="n"/>
      <c r="C421" s="30" t="n"/>
      <c r="D421" s="30" t="n"/>
      <c r="E421" s="33" t="n"/>
      <c r="F421" s="30" t="n"/>
      <c r="G421" s="34">
        <f>IF(B421="","",DATE(YEAR(B421),MONTH(B421),1))</f>
        <v/>
      </c>
    </row>
    <row r="422">
      <c r="B422" s="32" t="n"/>
      <c r="C422" s="30" t="n"/>
      <c r="D422" s="30" t="n"/>
      <c r="E422" s="33" t="n"/>
      <c r="F422" s="30" t="n"/>
      <c r="G422" s="34">
        <f>IF(B422="","",DATE(YEAR(B422),MONTH(B422),1))</f>
        <v/>
      </c>
    </row>
    <row r="423">
      <c r="B423" s="32" t="n"/>
      <c r="C423" s="30" t="n"/>
      <c r="D423" s="30" t="n"/>
      <c r="E423" s="33" t="n"/>
      <c r="F423" s="30" t="n"/>
      <c r="G423" s="34">
        <f>IF(B423="","",DATE(YEAR(B423),MONTH(B423),1))</f>
        <v/>
      </c>
    </row>
    <row r="424">
      <c r="B424" s="32" t="n"/>
      <c r="C424" s="30" t="n"/>
      <c r="D424" s="30" t="n"/>
      <c r="E424" s="33" t="n"/>
      <c r="F424" s="30" t="n"/>
      <c r="G424" s="34">
        <f>IF(B424="","",DATE(YEAR(B424),MONTH(B424),1))</f>
        <v/>
      </c>
    </row>
    <row r="425">
      <c r="B425" s="32" t="n"/>
      <c r="C425" s="30" t="n"/>
      <c r="D425" s="30" t="n"/>
      <c r="E425" s="33" t="n"/>
      <c r="F425" s="30" t="n"/>
      <c r="G425" s="34">
        <f>IF(B425="","",DATE(YEAR(B425),MONTH(B425),1))</f>
        <v/>
      </c>
    </row>
    <row r="426">
      <c r="B426" s="32" t="n"/>
      <c r="C426" s="30" t="n"/>
      <c r="D426" s="30" t="n"/>
      <c r="E426" s="33" t="n"/>
      <c r="F426" s="30" t="n"/>
      <c r="G426" s="34">
        <f>IF(B426="","",DATE(YEAR(B426),MONTH(B426),1))</f>
        <v/>
      </c>
    </row>
    <row r="427">
      <c r="B427" s="32" t="n"/>
      <c r="C427" s="30" t="n"/>
      <c r="D427" s="30" t="n"/>
      <c r="E427" s="33" t="n"/>
      <c r="F427" s="30" t="n"/>
      <c r="G427" s="34">
        <f>IF(B427="","",DATE(YEAR(B427),MONTH(B427),1))</f>
        <v/>
      </c>
    </row>
    <row r="428">
      <c r="B428" s="32" t="n"/>
      <c r="C428" s="30" t="n"/>
      <c r="D428" s="30" t="n"/>
      <c r="E428" s="33" t="n"/>
      <c r="F428" s="30" t="n"/>
      <c r="G428" s="34">
        <f>IF(B428="","",DATE(YEAR(B428),MONTH(B428),1))</f>
        <v/>
      </c>
    </row>
    <row r="429">
      <c r="B429" s="32" t="n"/>
      <c r="C429" s="30" t="n"/>
      <c r="D429" s="30" t="n"/>
      <c r="E429" s="33" t="n"/>
      <c r="F429" s="30" t="n"/>
      <c r="G429" s="34">
        <f>IF(B429="","",DATE(YEAR(B429),MONTH(B429),1))</f>
        <v/>
      </c>
    </row>
    <row r="430">
      <c r="B430" s="32" t="n"/>
      <c r="C430" s="30" t="n"/>
      <c r="D430" s="30" t="n"/>
      <c r="E430" s="33" t="n"/>
      <c r="F430" s="30" t="n"/>
      <c r="G430" s="34">
        <f>IF(B430="","",DATE(YEAR(B430),MONTH(B430),1))</f>
        <v/>
      </c>
    </row>
    <row r="431">
      <c r="B431" s="32" t="n"/>
      <c r="C431" s="30" t="n"/>
      <c r="D431" s="30" t="n"/>
      <c r="E431" s="33" t="n"/>
      <c r="F431" s="30" t="n"/>
      <c r="G431" s="34">
        <f>IF(B431="","",DATE(YEAR(B431),MONTH(B431),1))</f>
        <v/>
      </c>
    </row>
    <row r="432">
      <c r="B432" s="32" t="n"/>
      <c r="C432" s="30" t="n"/>
      <c r="D432" s="30" t="n"/>
      <c r="E432" s="33" t="n"/>
      <c r="F432" s="30" t="n"/>
      <c r="G432" s="34">
        <f>IF(B432="","",DATE(YEAR(B432),MONTH(B432),1))</f>
        <v/>
      </c>
    </row>
    <row r="433">
      <c r="B433" s="32" t="n"/>
      <c r="C433" s="30" t="n"/>
      <c r="D433" s="30" t="n"/>
      <c r="E433" s="33" t="n"/>
      <c r="F433" s="30" t="n"/>
      <c r="G433" s="34">
        <f>IF(B433="","",DATE(YEAR(B433),MONTH(B433),1))</f>
        <v/>
      </c>
    </row>
    <row r="434">
      <c r="B434" s="32" t="n"/>
      <c r="C434" s="30" t="n"/>
      <c r="D434" s="30" t="n"/>
      <c r="E434" s="33" t="n"/>
      <c r="F434" s="30" t="n"/>
      <c r="G434" s="34">
        <f>IF(B434="","",DATE(YEAR(B434),MONTH(B434),1))</f>
        <v/>
      </c>
    </row>
    <row r="435">
      <c r="B435" s="32" t="n"/>
      <c r="C435" s="30" t="n"/>
      <c r="D435" s="30" t="n"/>
      <c r="E435" s="33" t="n"/>
      <c r="F435" s="30" t="n"/>
      <c r="G435" s="34">
        <f>IF(B435="","",DATE(YEAR(B435),MONTH(B435),1))</f>
        <v/>
      </c>
    </row>
    <row r="436">
      <c r="B436" s="32" t="n"/>
      <c r="C436" s="30" t="n"/>
      <c r="D436" s="30" t="n"/>
      <c r="E436" s="33" t="n"/>
      <c r="F436" s="30" t="n"/>
      <c r="G436" s="34">
        <f>IF(B436="","",DATE(YEAR(B436),MONTH(B436),1))</f>
        <v/>
      </c>
    </row>
    <row r="437">
      <c r="B437" s="32" t="n"/>
      <c r="C437" s="30" t="n"/>
      <c r="D437" s="30" t="n"/>
      <c r="E437" s="33" t="n"/>
      <c r="F437" s="30" t="n"/>
      <c r="G437" s="34">
        <f>IF(B437="","",DATE(YEAR(B437),MONTH(B437),1))</f>
        <v/>
      </c>
    </row>
    <row r="438">
      <c r="B438" s="32" t="n"/>
      <c r="C438" s="30" t="n"/>
      <c r="D438" s="30" t="n"/>
      <c r="E438" s="33" t="n"/>
      <c r="F438" s="30" t="n"/>
      <c r="G438" s="34">
        <f>IF(B438="","",DATE(YEAR(B438),MONTH(B438),1))</f>
        <v/>
      </c>
    </row>
    <row r="439">
      <c r="B439" s="32" t="n"/>
      <c r="C439" s="30" t="n"/>
      <c r="D439" s="30" t="n"/>
      <c r="E439" s="33" t="n"/>
      <c r="F439" s="30" t="n"/>
      <c r="G439" s="34">
        <f>IF(B439="","",DATE(YEAR(B439),MONTH(B439),1))</f>
        <v/>
      </c>
    </row>
    <row r="440">
      <c r="B440" s="32" t="n"/>
      <c r="C440" s="30" t="n"/>
      <c r="D440" s="30" t="n"/>
      <c r="E440" s="33" t="n"/>
      <c r="F440" s="30" t="n"/>
      <c r="G440" s="34">
        <f>IF(B440="","",DATE(YEAR(B440),MONTH(B440),1))</f>
        <v/>
      </c>
    </row>
    <row r="441">
      <c r="B441" s="32" t="n"/>
      <c r="C441" s="30" t="n"/>
      <c r="D441" s="30" t="n"/>
      <c r="E441" s="33" t="n"/>
      <c r="F441" s="30" t="n"/>
      <c r="G441" s="34">
        <f>IF(B441="","",DATE(YEAR(B441),MONTH(B441),1))</f>
        <v/>
      </c>
    </row>
    <row r="442">
      <c r="B442" s="32" t="n"/>
      <c r="C442" s="30" t="n"/>
      <c r="D442" s="30" t="n"/>
      <c r="E442" s="33" t="n"/>
      <c r="F442" s="30" t="n"/>
      <c r="G442" s="34">
        <f>IF(B442="","",DATE(YEAR(B442),MONTH(B442),1))</f>
        <v/>
      </c>
    </row>
    <row r="443">
      <c r="B443" s="32" t="n"/>
      <c r="C443" s="30" t="n"/>
      <c r="D443" s="30" t="n"/>
      <c r="E443" s="33" t="n"/>
      <c r="F443" s="30" t="n"/>
      <c r="G443" s="34">
        <f>IF(B443="","",DATE(YEAR(B443),MONTH(B443),1))</f>
        <v/>
      </c>
    </row>
    <row r="444">
      <c r="B444" s="32" t="n"/>
      <c r="C444" s="30" t="n"/>
      <c r="D444" s="30" t="n"/>
      <c r="E444" s="33" t="n"/>
      <c r="F444" s="30" t="n"/>
      <c r="G444" s="34">
        <f>IF(B444="","",DATE(YEAR(B444),MONTH(B444),1))</f>
        <v/>
      </c>
    </row>
    <row r="445">
      <c r="B445" s="32" t="n"/>
      <c r="C445" s="30" t="n"/>
      <c r="D445" s="30" t="n"/>
      <c r="E445" s="33" t="n"/>
      <c r="F445" s="30" t="n"/>
      <c r="G445" s="34">
        <f>IF(B445="","",DATE(YEAR(B445),MONTH(B445),1))</f>
        <v/>
      </c>
    </row>
    <row r="446">
      <c r="B446" s="32" t="n"/>
      <c r="C446" s="30" t="n"/>
      <c r="D446" s="30" t="n"/>
      <c r="E446" s="33" t="n"/>
      <c r="F446" s="30" t="n"/>
      <c r="G446" s="34">
        <f>IF(B446="","",DATE(YEAR(B446),MONTH(B446),1))</f>
        <v/>
      </c>
    </row>
    <row r="447">
      <c r="B447" s="32" t="n"/>
      <c r="C447" s="30" t="n"/>
      <c r="D447" s="30" t="n"/>
      <c r="E447" s="33" t="n"/>
      <c r="F447" s="30" t="n"/>
      <c r="G447" s="34">
        <f>IF(B447="","",DATE(YEAR(B447),MONTH(B447),1))</f>
        <v/>
      </c>
    </row>
    <row r="448">
      <c r="B448" s="32" t="n"/>
      <c r="C448" s="30" t="n"/>
      <c r="D448" s="30" t="n"/>
      <c r="E448" s="33" t="n"/>
      <c r="F448" s="30" t="n"/>
      <c r="G448" s="34">
        <f>IF(B448="","",DATE(YEAR(B448),MONTH(B448),1))</f>
        <v/>
      </c>
    </row>
    <row r="449">
      <c r="B449" s="32" t="n"/>
      <c r="C449" s="30" t="n"/>
      <c r="D449" s="30" t="n"/>
      <c r="E449" s="33" t="n"/>
      <c r="F449" s="30" t="n"/>
      <c r="G449" s="34">
        <f>IF(B449="","",DATE(YEAR(B449),MONTH(B449),1))</f>
        <v/>
      </c>
    </row>
    <row r="450">
      <c r="B450" s="32" t="n"/>
      <c r="C450" s="30" t="n"/>
      <c r="D450" s="30" t="n"/>
      <c r="E450" s="33" t="n"/>
      <c r="F450" s="30" t="n"/>
      <c r="G450" s="34">
        <f>IF(B450="","",DATE(YEAR(B450),MONTH(B450),1))</f>
        <v/>
      </c>
    </row>
    <row r="451">
      <c r="B451" s="32" t="n"/>
      <c r="C451" s="30" t="n"/>
      <c r="D451" s="30" t="n"/>
      <c r="E451" s="33" t="n"/>
      <c r="F451" s="30" t="n"/>
      <c r="G451" s="34">
        <f>IF(B451="","",DATE(YEAR(B451),MONTH(B451),1))</f>
        <v/>
      </c>
    </row>
    <row r="452">
      <c r="B452" s="32" t="n"/>
      <c r="C452" s="30" t="n"/>
      <c r="D452" s="30" t="n"/>
      <c r="E452" s="33" t="n"/>
      <c r="F452" s="30" t="n"/>
      <c r="G452" s="34">
        <f>IF(B452="","",DATE(YEAR(B452),MONTH(B452),1))</f>
        <v/>
      </c>
    </row>
    <row r="453">
      <c r="B453" s="32" t="n"/>
      <c r="C453" s="30" t="n"/>
      <c r="D453" s="30" t="n"/>
      <c r="E453" s="33" t="n"/>
      <c r="F453" s="30" t="n"/>
      <c r="G453" s="34">
        <f>IF(B453="","",DATE(YEAR(B453),MONTH(B453),1))</f>
        <v/>
      </c>
    </row>
    <row r="454">
      <c r="B454" s="32" t="n"/>
      <c r="C454" s="30" t="n"/>
      <c r="D454" s="30" t="n"/>
      <c r="E454" s="33" t="n"/>
      <c r="F454" s="30" t="n"/>
      <c r="G454" s="34">
        <f>IF(B454="","",DATE(YEAR(B454),MONTH(B454),1))</f>
        <v/>
      </c>
    </row>
    <row r="455">
      <c r="B455" s="32" t="n"/>
      <c r="C455" s="30" t="n"/>
      <c r="D455" s="30" t="n"/>
      <c r="E455" s="33" t="n"/>
      <c r="F455" s="30" t="n"/>
      <c r="G455" s="34">
        <f>IF(B455="","",DATE(YEAR(B455),MONTH(B455),1))</f>
        <v/>
      </c>
    </row>
    <row r="456">
      <c r="B456" s="32" t="n"/>
      <c r="C456" s="30" t="n"/>
      <c r="D456" s="30" t="n"/>
      <c r="E456" s="33" t="n"/>
      <c r="F456" s="30" t="n"/>
      <c r="G456" s="34">
        <f>IF(B456="","",DATE(YEAR(B456),MONTH(B456),1))</f>
        <v/>
      </c>
    </row>
    <row r="457">
      <c r="B457" s="32" t="n"/>
      <c r="C457" s="30" t="n"/>
      <c r="D457" s="30" t="n"/>
      <c r="E457" s="33" t="n"/>
      <c r="F457" s="30" t="n"/>
      <c r="G457" s="34">
        <f>IF(B457="","",DATE(YEAR(B457),MONTH(B457),1))</f>
        <v/>
      </c>
    </row>
    <row r="458">
      <c r="B458" s="32" t="n"/>
      <c r="C458" s="30" t="n"/>
      <c r="D458" s="30" t="n"/>
      <c r="E458" s="33" t="n"/>
      <c r="F458" s="30" t="n"/>
      <c r="G458" s="34">
        <f>IF(B458="","",DATE(YEAR(B458),MONTH(B458),1))</f>
        <v/>
      </c>
    </row>
    <row r="459">
      <c r="B459" s="32" t="n"/>
      <c r="C459" s="30" t="n"/>
      <c r="D459" s="30" t="n"/>
      <c r="E459" s="33" t="n"/>
      <c r="F459" s="30" t="n"/>
      <c r="G459" s="34">
        <f>IF(B459="","",DATE(YEAR(B459),MONTH(B459),1))</f>
        <v/>
      </c>
    </row>
    <row r="460">
      <c r="B460" s="32" t="n"/>
      <c r="C460" s="30" t="n"/>
      <c r="D460" s="30" t="n"/>
      <c r="E460" s="33" t="n"/>
      <c r="F460" s="30" t="n"/>
      <c r="G460" s="34">
        <f>IF(B460="","",DATE(YEAR(B460),MONTH(B460),1))</f>
        <v/>
      </c>
    </row>
    <row r="461">
      <c r="B461" s="32" t="n"/>
      <c r="C461" s="30" t="n"/>
      <c r="D461" s="30" t="n"/>
      <c r="E461" s="33" t="n"/>
      <c r="F461" s="30" t="n"/>
      <c r="G461" s="34">
        <f>IF(B461="","",DATE(YEAR(B461),MONTH(B461),1))</f>
        <v/>
      </c>
    </row>
    <row r="462">
      <c r="B462" s="32" t="n"/>
      <c r="C462" s="30" t="n"/>
      <c r="D462" s="30" t="n"/>
      <c r="E462" s="33" t="n"/>
      <c r="F462" s="30" t="n"/>
      <c r="G462" s="34">
        <f>IF(B462="","",DATE(YEAR(B462),MONTH(B462),1))</f>
        <v/>
      </c>
    </row>
    <row r="463">
      <c r="B463" s="32" t="n"/>
      <c r="C463" s="30" t="n"/>
      <c r="D463" s="30" t="n"/>
      <c r="E463" s="33" t="n"/>
      <c r="F463" s="30" t="n"/>
      <c r="G463" s="34">
        <f>IF(B463="","",DATE(YEAR(B463),MONTH(B463),1))</f>
        <v/>
      </c>
    </row>
    <row r="464">
      <c r="B464" s="32" t="n"/>
      <c r="C464" s="30" t="n"/>
      <c r="D464" s="30" t="n"/>
      <c r="E464" s="33" t="n"/>
      <c r="F464" s="30" t="n"/>
      <c r="G464" s="34">
        <f>IF(B464="","",DATE(YEAR(B464),MONTH(B464),1))</f>
        <v/>
      </c>
    </row>
    <row r="465">
      <c r="B465" s="32" t="n"/>
      <c r="C465" s="30" t="n"/>
      <c r="D465" s="30" t="n"/>
      <c r="E465" s="33" t="n"/>
      <c r="F465" s="30" t="n"/>
      <c r="G465" s="34">
        <f>IF(B465="","",DATE(YEAR(B465),MONTH(B465),1))</f>
        <v/>
      </c>
    </row>
    <row r="466">
      <c r="B466" s="32" t="n"/>
      <c r="C466" s="30" t="n"/>
      <c r="D466" s="30" t="n"/>
      <c r="E466" s="33" t="n"/>
      <c r="F466" s="30" t="n"/>
      <c r="G466" s="34">
        <f>IF(B466="","",DATE(YEAR(B466),MONTH(B466),1))</f>
        <v/>
      </c>
    </row>
    <row r="467">
      <c r="B467" s="32" t="n"/>
      <c r="C467" s="30" t="n"/>
      <c r="D467" s="30" t="n"/>
      <c r="E467" s="33" t="n"/>
      <c r="F467" s="30" t="n"/>
      <c r="G467" s="34">
        <f>IF(B467="","",DATE(YEAR(B467),MONTH(B467),1))</f>
        <v/>
      </c>
    </row>
    <row r="468">
      <c r="B468" s="32" t="n"/>
      <c r="C468" s="30" t="n"/>
      <c r="D468" s="30" t="n"/>
      <c r="E468" s="33" t="n"/>
      <c r="F468" s="30" t="n"/>
      <c r="G468" s="34">
        <f>IF(B468="","",DATE(YEAR(B468),MONTH(B468),1))</f>
        <v/>
      </c>
    </row>
    <row r="469">
      <c r="B469" s="32" t="n"/>
      <c r="C469" s="30" t="n"/>
      <c r="D469" s="30" t="n"/>
      <c r="E469" s="33" t="n"/>
      <c r="F469" s="30" t="n"/>
      <c r="G469" s="34">
        <f>IF(B469="","",DATE(YEAR(B469),MONTH(B469),1))</f>
        <v/>
      </c>
    </row>
    <row r="470">
      <c r="B470" s="32" t="n"/>
      <c r="C470" s="30" t="n"/>
      <c r="D470" s="30" t="n"/>
      <c r="E470" s="33" t="n"/>
      <c r="F470" s="30" t="n"/>
      <c r="G470" s="34">
        <f>IF(B470="","",DATE(YEAR(B470),MONTH(B470),1))</f>
        <v/>
      </c>
    </row>
    <row r="471">
      <c r="B471" s="32" t="n"/>
      <c r="C471" s="30" t="n"/>
      <c r="D471" s="30" t="n"/>
      <c r="E471" s="33" t="n"/>
      <c r="F471" s="30" t="n"/>
      <c r="G471" s="34">
        <f>IF(B471="","",DATE(YEAR(B471),MONTH(B471),1))</f>
        <v/>
      </c>
    </row>
    <row r="472">
      <c r="B472" s="32" t="n"/>
      <c r="C472" s="30" t="n"/>
      <c r="D472" s="30" t="n"/>
      <c r="E472" s="33" t="n"/>
      <c r="F472" s="30" t="n"/>
      <c r="G472" s="34">
        <f>IF(B472="","",DATE(YEAR(B472),MONTH(B472),1))</f>
        <v/>
      </c>
    </row>
    <row r="473">
      <c r="B473" s="32" t="n"/>
      <c r="C473" s="30" t="n"/>
      <c r="D473" s="30" t="n"/>
      <c r="E473" s="33" t="n"/>
      <c r="F473" s="30" t="n"/>
      <c r="G473" s="34">
        <f>IF(B473="","",DATE(YEAR(B473),MONTH(B473),1))</f>
        <v/>
      </c>
    </row>
    <row r="474">
      <c r="B474" s="32" t="n"/>
      <c r="C474" s="30" t="n"/>
      <c r="D474" s="30" t="n"/>
      <c r="E474" s="33" t="n"/>
      <c r="F474" s="30" t="n"/>
      <c r="G474" s="34">
        <f>IF(B474="","",DATE(YEAR(B474),MONTH(B474),1))</f>
        <v/>
      </c>
    </row>
    <row r="475">
      <c r="B475" s="32" t="n"/>
      <c r="C475" s="30" t="n"/>
      <c r="D475" s="30" t="n"/>
      <c r="E475" s="33" t="n"/>
      <c r="F475" s="30" t="n"/>
      <c r="G475" s="34">
        <f>IF(B475="","",DATE(YEAR(B475),MONTH(B475),1))</f>
        <v/>
      </c>
    </row>
    <row r="476">
      <c r="B476" s="32" t="n"/>
      <c r="C476" s="30" t="n"/>
      <c r="D476" s="30" t="n"/>
      <c r="E476" s="33" t="n"/>
      <c r="F476" s="30" t="n"/>
      <c r="G476" s="34">
        <f>IF(B476="","",DATE(YEAR(B476),MONTH(B476),1))</f>
        <v/>
      </c>
    </row>
    <row r="477">
      <c r="B477" s="32" t="n"/>
      <c r="C477" s="30" t="n"/>
      <c r="D477" s="30" t="n"/>
      <c r="E477" s="33" t="n"/>
      <c r="F477" s="30" t="n"/>
      <c r="G477" s="34">
        <f>IF(B477="","",DATE(YEAR(B477),MONTH(B477),1))</f>
        <v/>
      </c>
    </row>
    <row r="478">
      <c r="B478" s="32" t="n"/>
      <c r="C478" s="30" t="n"/>
      <c r="D478" s="30" t="n"/>
      <c r="E478" s="33" t="n"/>
      <c r="F478" s="30" t="n"/>
      <c r="G478" s="34">
        <f>IF(B478="","",DATE(YEAR(B478),MONTH(B478),1))</f>
        <v/>
      </c>
    </row>
    <row r="479">
      <c r="B479" s="32" t="n"/>
      <c r="C479" s="30" t="n"/>
      <c r="D479" s="30" t="n"/>
      <c r="E479" s="33" t="n"/>
      <c r="F479" s="30" t="n"/>
      <c r="G479" s="34">
        <f>IF(B479="","",DATE(YEAR(B479),MONTH(B479),1))</f>
        <v/>
      </c>
    </row>
    <row r="480">
      <c r="B480" s="32" t="n"/>
      <c r="C480" s="30" t="n"/>
      <c r="D480" s="30" t="n"/>
      <c r="E480" s="33" t="n"/>
      <c r="F480" s="30" t="n"/>
      <c r="G480" s="34">
        <f>IF(B480="","",DATE(YEAR(B480),MONTH(B480),1))</f>
        <v/>
      </c>
    </row>
    <row r="481">
      <c r="B481" s="32" t="n"/>
      <c r="C481" s="30" t="n"/>
      <c r="D481" s="30" t="n"/>
      <c r="E481" s="33" t="n"/>
      <c r="F481" s="30" t="n"/>
      <c r="G481" s="34">
        <f>IF(B481="","",DATE(YEAR(B481),MONTH(B481),1))</f>
        <v/>
      </c>
    </row>
    <row r="482">
      <c r="B482" s="32" t="n"/>
      <c r="C482" s="30" t="n"/>
      <c r="D482" s="30" t="n"/>
      <c r="E482" s="33" t="n"/>
      <c r="F482" s="30" t="n"/>
      <c r="G482" s="34">
        <f>IF(B482="","",DATE(YEAR(B482),MONTH(B482),1))</f>
        <v/>
      </c>
    </row>
    <row r="483">
      <c r="B483" s="32" t="n"/>
      <c r="C483" s="30" t="n"/>
      <c r="D483" s="30" t="n"/>
      <c r="E483" s="33" t="n"/>
      <c r="F483" s="30" t="n"/>
      <c r="G483" s="34">
        <f>IF(B483="","",DATE(YEAR(B483),MONTH(B483),1))</f>
        <v/>
      </c>
    </row>
    <row r="484">
      <c r="B484" s="32" t="n"/>
      <c r="C484" s="30" t="n"/>
      <c r="D484" s="30" t="n"/>
      <c r="E484" s="33" t="n"/>
      <c r="F484" s="30" t="n"/>
      <c r="G484" s="34">
        <f>IF(B484="","",DATE(YEAR(B484),MONTH(B484),1))</f>
        <v/>
      </c>
    </row>
    <row r="485">
      <c r="B485" s="32" t="n"/>
      <c r="C485" s="30" t="n"/>
      <c r="D485" s="30" t="n"/>
      <c r="E485" s="33" t="n"/>
      <c r="F485" s="30" t="n"/>
      <c r="G485" s="34">
        <f>IF(B485="","",DATE(YEAR(B485),MONTH(B485),1))</f>
        <v/>
      </c>
    </row>
    <row r="486">
      <c r="B486" s="32" t="n"/>
      <c r="C486" s="30" t="n"/>
      <c r="D486" s="30" t="n"/>
      <c r="E486" s="33" t="n"/>
      <c r="F486" s="30" t="n"/>
      <c r="G486" s="34">
        <f>IF(B486="","",DATE(YEAR(B486),MONTH(B486),1))</f>
        <v/>
      </c>
    </row>
    <row r="487">
      <c r="B487" s="32" t="n"/>
      <c r="C487" s="30" t="n"/>
      <c r="D487" s="30" t="n"/>
      <c r="E487" s="33" t="n"/>
      <c r="F487" s="30" t="n"/>
      <c r="G487" s="34">
        <f>IF(B487="","",DATE(YEAR(B487),MONTH(B487),1))</f>
        <v/>
      </c>
    </row>
    <row r="488">
      <c r="B488" s="32" t="n"/>
      <c r="C488" s="30" t="n"/>
      <c r="D488" s="30" t="n"/>
      <c r="E488" s="33" t="n"/>
      <c r="F488" s="30" t="n"/>
      <c r="G488" s="34">
        <f>IF(B488="","",DATE(YEAR(B488),MONTH(B488),1))</f>
        <v/>
      </c>
    </row>
    <row r="489">
      <c r="B489" s="32" t="n"/>
      <c r="C489" s="30" t="n"/>
      <c r="D489" s="30" t="n"/>
      <c r="E489" s="33" t="n"/>
      <c r="F489" s="30" t="n"/>
      <c r="G489" s="34">
        <f>IF(B489="","",DATE(YEAR(B489),MONTH(B489),1))</f>
        <v/>
      </c>
    </row>
    <row r="490">
      <c r="B490" s="32" t="n"/>
      <c r="C490" s="30" t="n"/>
      <c r="D490" s="30" t="n"/>
      <c r="E490" s="33" t="n"/>
      <c r="F490" s="30" t="n"/>
      <c r="G490" s="34">
        <f>IF(B490="","",DATE(YEAR(B490),MONTH(B490),1))</f>
        <v/>
      </c>
    </row>
    <row r="491">
      <c r="B491" s="32" t="n"/>
      <c r="C491" s="30" t="n"/>
      <c r="D491" s="30" t="n"/>
      <c r="E491" s="33" t="n"/>
      <c r="F491" s="30" t="n"/>
      <c r="G491" s="34">
        <f>IF(B491="","",DATE(YEAR(B491),MONTH(B491),1))</f>
        <v/>
      </c>
    </row>
    <row r="492">
      <c r="B492" s="32" t="n"/>
      <c r="C492" s="30" t="n"/>
      <c r="D492" s="30" t="n"/>
      <c r="E492" s="33" t="n"/>
      <c r="F492" s="30" t="n"/>
      <c r="G492" s="34">
        <f>IF(B492="","",DATE(YEAR(B492),MONTH(B492),1))</f>
        <v/>
      </c>
    </row>
    <row r="493">
      <c r="B493" s="32" t="n"/>
      <c r="C493" s="30" t="n"/>
      <c r="D493" s="30" t="n"/>
      <c r="E493" s="33" t="n"/>
      <c r="F493" s="30" t="n"/>
      <c r="G493" s="34">
        <f>IF(B493="","",DATE(YEAR(B493),MONTH(B493),1))</f>
        <v/>
      </c>
    </row>
    <row r="494">
      <c r="B494" s="32" t="n"/>
      <c r="C494" s="30" t="n"/>
      <c r="D494" s="30" t="n"/>
      <c r="E494" s="33" t="n"/>
      <c r="F494" s="30" t="n"/>
      <c r="G494" s="34">
        <f>IF(B494="","",DATE(YEAR(B494),MONTH(B494),1))</f>
        <v/>
      </c>
    </row>
    <row r="495">
      <c r="B495" s="32" t="n"/>
      <c r="C495" s="30" t="n"/>
      <c r="D495" s="30" t="n"/>
      <c r="E495" s="33" t="n"/>
      <c r="F495" s="30" t="n"/>
      <c r="G495" s="34">
        <f>IF(B495="","",DATE(YEAR(B495),MONTH(B495),1))</f>
        <v/>
      </c>
    </row>
    <row r="496">
      <c r="B496" s="32" t="n"/>
      <c r="C496" s="30" t="n"/>
      <c r="D496" s="30" t="n"/>
      <c r="E496" s="33" t="n"/>
      <c r="F496" s="30" t="n"/>
      <c r="G496" s="34">
        <f>IF(B496="","",DATE(YEAR(B496),MONTH(B496),1))</f>
        <v/>
      </c>
    </row>
    <row r="497">
      <c r="B497" s="32" t="n"/>
      <c r="C497" s="30" t="n"/>
      <c r="D497" s="30" t="n"/>
      <c r="E497" s="33" t="n"/>
      <c r="F497" s="30" t="n"/>
      <c r="G497" s="34">
        <f>IF(B497="","",DATE(YEAR(B497),MONTH(B497),1))</f>
        <v/>
      </c>
    </row>
    <row r="498">
      <c r="B498" s="32" t="n"/>
      <c r="C498" s="30" t="n"/>
      <c r="D498" s="30" t="n"/>
      <c r="E498" s="33" t="n"/>
      <c r="F498" s="30" t="n"/>
      <c r="G498" s="34">
        <f>IF(B498="","",DATE(YEAR(B498),MONTH(B498),1))</f>
        <v/>
      </c>
    </row>
    <row r="499">
      <c r="B499" s="32" t="n"/>
      <c r="C499" s="30" t="n"/>
      <c r="D499" s="30" t="n"/>
      <c r="E499" s="33" t="n"/>
      <c r="F499" s="30" t="n"/>
      <c r="G499" s="34">
        <f>IF(B499="","",DATE(YEAR(B499),MONTH(B499),1))</f>
        <v/>
      </c>
    </row>
    <row r="500">
      <c r="B500" s="32" t="n"/>
      <c r="C500" s="30" t="n"/>
      <c r="D500" s="30" t="n"/>
      <c r="E500" s="33" t="n"/>
      <c r="F500" s="30" t="n"/>
      <c r="G500" s="34">
        <f>IF(B500="","",DATE(YEAR(B500),MONTH(B500),1))</f>
        <v/>
      </c>
    </row>
    <row r="501">
      <c r="B501" s="32" t="n"/>
      <c r="C501" s="30" t="n"/>
      <c r="D501" s="30" t="n"/>
      <c r="E501" s="33" t="n"/>
      <c r="F501" s="30" t="n"/>
      <c r="G501" s="34">
        <f>IF(B501="","",DATE(YEAR(B501),MONTH(B501),1))</f>
        <v/>
      </c>
    </row>
    <row r="502">
      <c r="B502" s="32" t="n"/>
      <c r="C502" s="30" t="n"/>
      <c r="D502" s="30" t="n"/>
      <c r="E502" s="33" t="n"/>
      <c r="F502" s="30" t="n"/>
      <c r="G502" s="34">
        <f>IF(B502="","",DATE(YEAR(B502),MONTH(B502),1))</f>
        <v/>
      </c>
    </row>
    <row r="503">
      <c r="B503" s="32" t="n"/>
      <c r="C503" s="30" t="n"/>
      <c r="D503" s="30" t="n"/>
      <c r="E503" s="33" t="n"/>
      <c r="F503" s="30" t="n"/>
      <c r="G503" s="34">
        <f>IF(B503="","",DATE(YEAR(B503),MONTH(B503),1))</f>
        <v/>
      </c>
    </row>
    <row r="504">
      <c r="B504" s="32" t="n"/>
      <c r="C504" s="30" t="n"/>
      <c r="D504" s="30" t="n"/>
      <c r="E504" s="33" t="n"/>
      <c r="F504" s="30" t="n"/>
      <c r="G504" s="34">
        <f>IF(B504="","",DATE(YEAR(B504),MONTH(B504),1))</f>
        <v/>
      </c>
    </row>
    <row r="505">
      <c r="B505" s="32" t="n"/>
      <c r="C505" s="30" t="n"/>
      <c r="D505" s="30" t="n"/>
      <c r="E505" s="33" t="n"/>
      <c r="F505" s="30" t="n"/>
      <c r="G505" s="34">
        <f>IF(B505="","",DATE(YEAR(B505),MONTH(B505),1))</f>
        <v/>
      </c>
    </row>
    <row r="506">
      <c r="B506" s="32" t="n"/>
      <c r="C506" s="30" t="n"/>
      <c r="D506" s="30" t="n"/>
      <c r="E506" s="33" t="n"/>
      <c r="F506" s="30" t="n"/>
      <c r="G506" s="34">
        <f>IF(B506="","",DATE(YEAR(B506),MONTH(B506),1))</f>
        <v/>
      </c>
    </row>
  </sheetData>
  <dataValidations count="2">
    <dataValidation sqref="C7:C506" showDropDown="0" showInputMessage="0" showErrorMessage="0" allowBlank="1" type="list">
      <formula1>"Income,Expense"</formula1>
    </dataValidation>
    <dataValidation sqref="D7:D506" showDropDown="0" showInputMessage="0" showErrorMessage="0" allowBlank="1" type="list">
      <formula1>='Setup'!$B$12:$E$31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H4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2" customWidth="1" min="6" max="6"/>
    <col width="3" customWidth="1" min="7" max="7"/>
    <col hidden="1" width="1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2" t="inlineStr">
        <is>
          <t>Monthly Budget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Month shown = Planning month in Setup. Type planned amounts in the white column.</t>
        </is>
      </c>
      <c r="C3" s="1" t="n"/>
      <c r="D3" s="1" t="n"/>
      <c r="E3" s="1" t="n"/>
      <c r="F3" s="1" t="n"/>
      <c r="G3" s="1" t="n"/>
    </row>
    <row r="4" ht="8" customHeight="1"/>
    <row r="6">
      <c r="B6" s="16" t="inlineStr">
        <is>
          <t>Month</t>
        </is>
      </c>
      <c r="C6" s="35">
        <f>PlanMonth</f>
        <v/>
      </c>
      <c r="D6" s="10" t="n"/>
    </row>
    <row r="8" ht="28" customHeight="1">
      <c r="B8" s="18" t="inlineStr">
        <is>
          <t>Income</t>
        </is>
      </c>
      <c r="C8" s="18" t="inlineStr">
        <is>
          <t>Planned</t>
        </is>
      </c>
      <c r="D8" s="18" t="inlineStr">
        <is>
          <t>Actual</t>
        </is>
      </c>
      <c r="E8" s="18" t="inlineStr">
        <is>
          <t>Difference</t>
        </is>
      </c>
      <c r="F8" s="18" t="inlineStr">
        <is>
          <t>Received</t>
        </is>
      </c>
    </row>
    <row r="9">
      <c r="B9" s="20">
        <f>IF('Setup'!B12="","",'Setup'!B12)</f>
        <v/>
      </c>
      <c r="C9" s="33" t="n">
        <v>3250</v>
      </c>
      <c r="D9" s="24">
        <f>IF(B9="","",SUMIFS('Money Log'!$E$7:$E$506,'Money Log'!$D$7:$D$506,B9,'Money Log'!$C$7:$C$506,"Income",'Money Log'!$G$7:$G$506,PlanMonth))</f>
        <v/>
      </c>
      <c r="E9" s="24">
        <f>IF(B9="","",D9-N(C9))</f>
        <v/>
      </c>
      <c r="F9" s="22">
        <f>IF(OR(B9="",N(C9)=0),"",D9/C9)</f>
        <v/>
      </c>
    </row>
    <row r="10">
      <c r="B10" s="20">
        <f>IF('Setup'!B13="","",'Setup'!B13)</f>
        <v/>
      </c>
      <c r="C10" s="33" t="n">
        <v>350</v>
      </c>
      <c r="D10" s="24">
        <f>IF(B10="","",SUMIFS('Money Log'!$E$7:$E$506,'Money Log'!$D$7:$D$506,B10,'Money Log'!$C$7:$C$506,"Income",'Money Log'!$G$7:$G$506,PlanMonth))</f>
        <v/>
      </c>
      <c r="E10" s="24">
        <f>IF(B10="","",D10-N(C10))</f>
        <v/>
      </c>
      <c r="F10" s="22">
        <f>IF(OR(B10="",N(C10)=0),"",D10/C10)</f>
        <v/>
      </c>
    </row>
    <row r="11">
      <c r="B11" s="20">
        <f>IF('Setup'!B14="","",'Setup'!B14)</f>
        <v/>
      </c>
      <c r="C11" s="33" t="n"/>
      <c r="D11" s="24">
        <f>IF(B11="","",SUMIFS('Money Log'!$E$7:$E$506,'Money Log'!$D$7:$D$506,B11,'Money Log'!$C$7:$C$506,"Income",'Money Log'!$G$7:$G$506,PlanMonth))</f>
        <v/>
      </c>
      <c r="E11" s="24">
        <f>IF(B11="","",D11-N(C11))</f>
        <v/>
      </c>
      <c r="F11" s="22">
        <f>IF(OR(B11="",N(C11)=0),"",D11/C11)</f>
        <v/>
      </c>
    </row>
    <row r="12">
      <c r="B12" s="20">
        <f>IF('Setup'!B15="","",'Setup'!B15)</f>
        <v/>
      </c>
      <c r="C12" s="33" t="n"/>
      <c r="D12" s="24">
        <f>IF(B12="","",SUMIFS('Money Log'!$E$7:$E$506,'Money Log'!$D$7:$D$506,B12,'Money Log'!$C$7:$C$506,"Income",'Money Log'!$G$7:$G$506,PlanMonth))</f>
        <v/>
      </c>
      <c r="E12" s="24">
        <f>IF(B12="","",D12-N(C12))</f>
        <v/>
      </c>
      <c r="F12" s="22">
        <f>IF(OR(B12="",N(C12)=0),"",D12/C12)</f>
        <v/>
      </c>
    </row>
    <row r="13">
      <c r="B13" s="20">
        <f>IF('Setup'!B16="","",'Setup'!B16)</f>
        <v/>
      </c>
      <c r="C13" s="33" t="n"/>
      <c r="D13" s="24">
        <f>IF(B13="","",SUMIFS('Money Log'!$E$7:$E$506,'Money Log'!$D$7:$D$506,B13,'Money Log'!$C$7:$C$506,"Income",'Money Log'!$G$7:$G$506,PlanMonth))</f>
        <v/>
      </c>
      <c r="E13" s="24">
        <f>IF(B13="","",D13-N(C13))</f>
        <v/>
      </c>
      <c r="F13" s="22">
        <f>IF(OR(B13="",N(C13)=0),"",D13/C13)</f>
        <v/>
      </c>
    </row>
    <row r="14">
      <c r="B14" s="20">
        <f>IF('Setup'!B17="","",'Setup'!B17)</f>
        <v/>
      </c>
      <c r="C14" s="33" t="n"/>
      <c r="D14" s="24">
        <f>IF(B14="","",SUMIFS('Money Log'!$E$7:$E$506,'Money Log'!$D$7:$D$506,B14,'Money Log'!$C$7:$C$506,"Income",'Money Log'!$G$7:$G$506,PlanMonth))</f>
        <v/>
      </c>
      <c r="E14" s="24">
        <f>IF(B14="","",D14-N(C14))</f>
        <v/>
      </c>
      <c r="F14" s="22">
        <f>IF(OR(B14="",N(C14)=0),"",D14/C14)</f>
        <v/>
      </c>
    </row>
    <row r="15">
      <c r="B15" s="20">
        <f>IF('Setup'!B18="","",'Setup'!B18)</f>
        <v/>
      </c>
      <c r="C15" s="33" t="n"/>
      <c r="D15" s="24">
        <f>IF(B15="","",SUMIFS('Money Log'!$E$7:$E$506,'Money Log'!$D$7:$D$506,B15,'Money Log'!$C$7:$C$506,"Income",'Money Log'!$G$7:$G$506,PlanMonth))</f>
        <v/>
      </c>
      <c r="E15" s="24">
        <f>IF(B15="","",D15-N(C15))</f>
        <v/>
      </c>
      <c r="F15" s="22">
        <f>IF(OR(B15="",N(C15)=0),"",D15/C15)</f>
        <v/>
      </c>
    </row>
    <row r="16">
      <c r="B16" s="20">
        <f>IF('Setup'!B19="","",'Setup'!B19)</f>
        <v/>
      </c>
      <c r="C16" s="33" t="n"/>
      <c r="D16" s="24">
        <f>IF(B16="","",SUMIFS('Money Log'!$E$7:$E$506,'Money Log'!$D$7:$D$506,B16,'Money Log'!$C$7:$C$506,"Income",'Money Log'!$G$7:$G$506,PlanMonth))</f>
        <v/>
      </c>
      <c r="E16" s="24">
        <f>IF(B16="","",D16-N(C16))</f>
        <v/>
      </c>
      <c r="F16" s="22">
        <f>IF(OR(B16="",N(C16)=0),"",D16/C16)</f>
        <v/>
      </c>
    </row>
    <row r="17">
      <c r="B17" s="20">
        <f>IF('Setup'!B20="","",'Setup'!B20)</f>
        <v/>
      </c>
      <c r="C17" s="33" t="n"/>
      <c r="D17" s="24">
        <f>IF(B17="","",SUMIFS('Money Log'!$E$7:$E$506,'Money Log'!$D$7:$D$506,B17,'Money Log'!$C$7:$C$506,"Income",'Money Log'!$G$7:$G$506,PlanMonth))</f>
        <v/>
      </c>
      <c r="E17" s="24">
        <f>IF(B17="","",D17-N(C17))</f>
        <v/>
      </c>
      <c r="F17" s="22">
        <f>IF(OR(B17="",N(C17)=0),"",D17/C17)</f>
        <v/>
      </c>
    </row>
    <row r="18">
      <c r="B18" s="20">
        <f>IF('Setup'!B21="","",'Setup'!B21)</f>
        <v/>
      </c>
      <c r="C18" s="33" t="n"/>
      <c r="D18" s="24">
        <f>IF(B18="","",SUMIFS('Money Log'!$E$7:$E$506,'Money Log'!$D$7:$D$506,B18,'Money Log'!$C$7:$C$506,"Income",'Money Log'!$G$7:$G$506,PlanMonth))</f>
        <v/>
      </c>
      <c r="E18" s="24">
        <f>IF(B18="","",D18-N(C18))</f>
        <v/>
      </c>
      <c r="F18" s="22">
        <f>IF(OR(B18="",N(C18)=0),"",D18/C18)</f>
        <v/>
      </c>
    </row>
    <row r="20" ht="28" customHeight="1">
      <c r="B20" s="23" t="inlineStr">
        <is>
          <t>Expenses</t>
        </is>
      </c>
      <c r="C20" s="23" t="inlineStr">
        <is>
          <t>Planned</t>
        </is>
      </c>
      <c r="D20" s="23" t="inlineStr">
        <is>
          <t>Actual</t>
        </is>
      </c>
      <c r="E20" s="23" t="inlineStr">
        <is>
          <t>Left</t>
        </is>
      </c>
      <c r="F20" s="23" t="inlineStr">
        <is>
          <t>Used</t>
        </is>
      </c>
    </row>
    <row r="21">
      <c r="B21" s="20">
        <f>IF('Setup'!E12="","",'Setup'!E12)</f>
        <v/>
      </c>
      <c r="C21" s="33" t="n">
        <v>1150</v>
      </c>
      <c r="D21" s="24">
        <f>IF(B21="","",SUMIFS('Money Log'!$E$7:$E$506,'Money Log'!$D$7:$D$506,B21,'Money Log'!$C$7:$C$506,"Expense",'Money Log'!$G$7:$G$506,PlanMonth))</f>
        <v/>
      </c>
      <c r="E21" s="24">
        <f>IF(B21="","",N(C21)-D21)</f>
        <v/>
      </c>
      <c r="F21" s="22">
        <f>IF(OR(B21="",N(C21)=0),"",D21/C21)</f>
        <v/>
      </c>
      <c r="H21" s="36">
        <f>IF(OR(B21="",N(D21)=0),"",D21+ROW()/1000000)</f>
        <v/>
      </c>
    </row>
    <row r="22">
      <c r="B22" s="20">
        <f>IF('Setup'!E13="","",'Setup'!E13)</f>
        <v/>
      </c>
      <c r="C22" s="33" t="n">
        <v>120</v>
      </c>
      <c r="D22" s="24">
        <f>IF(B22="","",SUMIFS('Money Log'!$E$7:$E$506,'Money Log'!$D$7:$D$506,B22,'Money Log'!$C$7:$C$506,"Expense",'Money Log'!$G$7:$G$506,PlanMonth))</f>
        <v/>
      </c>
      <c r="E22" s="24">
        <f>IF(B22="","",N(C22)-D22)</f>
        <v/>
      </c>
      <c r="F22" s="22">
        <f>IF(OR(B22="",N(C22)=0),"",D22/C22)</f>
        <v/>
      </c>
      <c r="H22" s="36">
        <f>IF(OR(B22="",N(D22)=0),"",D22+ROW()/1000000)</f>
        <v/>
      </c>
    </row>
    <row r="23">
      <c r="B23" s="20">
        <f>IF('Setup'!E14="","",'Setup'!E14)</f>
        <v/>
      </c>
      <c r="C23" s="33" t="n">
        <v>450</v>
      </c>
      <c r="D23" s="24">
        <f>IF(B23="","",SUMIFS('Money Log'!$E$7:$E$506,'Money Log'!$D$7:$D$506,B23,'Money Log'!$C$7:$C$506,"Expense",'Money Log'!$G$7:$G$506,PlanMonth))</f>
        <v/>
      </c>
      <c r="E23" s="24">
        <f>IF(B23="","",N(C23)-D23)</f>
        <v/>
      </c>
      <c r="F23" s="22">
        <f>IF(OR(B23="",N(C23)=0),"",D23/C23)</f>
        <v/>
      </c>
      <c r="H23" s="36">
        <f>IF(OR(B23="",N(D23)=0),"",D23+ROW()/1000000)</f>
        <v/>
      </c>
    </row>
    <row r="24">
      <c r="B24" s="20">
        <f>IF('Setup'!E15="","",'Setup'!E15)</f>
        <v/>
      </c>
      <c r="C24" s="33" t="n">
        <v>180</v>
      </c>
      <c r="D24" s="24">
        <f>IF(B24="","",SUMIFS('Money Log'!$E$7:$E$506,'Money Log'!$D$7:$D$506,B24,'Money Log'!$C$7:$C$506,"Expense",'Money Log'!$G$7:$G$506,PlanMonth))</f>
        <v/>
      </c>
      <c r="E24" s="24">
        <f>IF(B24="","",N(C24)-D24)</f>
        <v/>
      </c>
      <c r="F24" s="22">
        <f>IF(OR(B24="",N(C24)=0),"",D24/C24)</f>
        <v/>
      </c>
      <c r="H24" s="36">
        <f>IF(OR(B24="",N(D24)=0),"",D24+ROW()/1000000)</f>
        <v/>
      </c>
    </row>
    <row r="25">
      <c r="B25" s="20">
        <f>IF('Setup'!E16="","",'Setup'!E16)</f>
        <v/>
      </c>
      <c r="C25" s="33" t="n">
        <v>142</v>
      </c>
      <c r="D25" s="24">
        <f>IF(B25="","",SUMIFS('Money Log'!$E$7:$E$506,'Money Log'!$D$7:$D$506,B25,'Money Log'!$C$7:$C$506,"Expense",'Money Log'!$G$7:$G$506,PlanMonth))</f>
        <v/>
      </c>
      <c r="E25" s="24">
        <f>IF(B25="","",N(C25)-D25)</f>
        <v/>
      </c>
      <c r="F25" s="22">
        <f>IF(OR(B25="",N(C25)=0),"",D25/C25)</f>
        <v/>
      </c>
      <c r="H25" s="36">
        <f>IF(OR(B25="",N(D25)=0),"",D25+ROW()/1000000)</f>
        <v/>
      </c>
    </row>
    <row r="26">
      <c r="B26" s="20">
        <f>IF('Setup'!E17="","",'Setup'!E17)</f>
        <v/>
      </c>
      <c r="C26" s="33" t="n">
        <v>65</v>
      </c>
      <c r="D26" s="24">
        <f>IF(B26="","",SUMIFS('Money Log'!$E$7:$E$506,'Money Log'!$D$7:$D$506,B26,'Money Log'!$C$7:$C$506,"Expense",'Money Log'!$G$7:$G$506,PlanMonth))</f>
        <v/>
      </c>
      <c r="E26" s="24">
        <f>IF(B26="","",N(C26)-D26)</f>
        <v/>
      </c>
      <c r="F26" s="22">
        <f>IF(OR(B26="",N(C26)=0),"",D26/C26)</f>
        <v/>
      </c>
      <c r="H26" s="36">
        <f>IF(OR(B26="",N(D26)=0),"",D26+ROW()/1000000)</f>
        <v/>
      </c>
    </row>
    <row r="27">
      <c r="B27" s="20">
        <f>IF('Setup'!E18="","",'Setup'!E18)</f>
        <v/>
      </c>
      <c r="C27" s="33" t="n">
        <v>40</v>
      </c>
      <c r="D27" s="24">
        <f>IF(B27="","",SUMIFS('Money Log'!$E$7:$E$506,'Money Log'!$D$7:$D$506,B27,'Money Log'!$C$7:$C$506,"Expense",'Money Log'!$G$7:$G$506,PlanMonth))</f>
        <v/>
      </c>
      <c r="E27" s="24">
        <f>IF(B27="","",N(C27)-D27)</f>
        <v/>
      </c>
      <c r="F27" s="22">
        <f>IF(OR(B27="",N(C27)=0),"",D27/C27)</f>
        <v/>
      </c>
      <c r="H27" s="36">
        <f>IF(OR(B27="",N(D27)=0),"",D27+ROW()/1000000)</f>
        <v/>
      </c>
    </row>
    <row r="28">
      <c r="B28" s="20">
        <f>IF('Setup'!E19="","",'Setup'!E19)</f>
        <v/>
      </c>
      <c r="C28" s="33" t="n">
        <v>80</v>
      </c>
      <c r="D28" s="24">
        <f>IF(B28="","",SUMIFS('Money Log'!$E$7:$E$506,'Money Log'!$D$7:$D$506,B28,'Money Log'!$C$7:$C$506,"Expense",'Money Log'!$G$7:$G$506,PlanMonth))</f>
        <v/>
      </c>
      <c r="E28" s="24">
        <f>IF(B28="","",N(C28)-D28)</f>
        <v/>
      </c>
      <c r="F28" s="22">
        <f>IF(OR(B28="",N(C28)=0),"",D28/C28)</f>
        <v/>
      </c>
      <c r="H28" s="36">
        <f>IF(OR(B28="",N(D28)=0),"",D28+ROW()/1000000)</f>
        <v/>
      </c>
    </row>
    <row r="29">
      <c r="B29" s="20">
        <f>IF('Setup'!E20="","",'Setup'!E20)</f>
        <v/>
      </c>
      <c r="C29" s="33" t="n">
        <v>40</v>
      </c>
      <c r="D29" s="24">
        <f>IF(B29="","",SUMIFS('Money Log'!$E$7:$E$506,'Money Log'!$D$7:$D$506,B29,'Money Log'!$C$7:$C$506,"Expense",'Money Log'!$G$7:$G$506,PlanMonth))</f>
        <v/>
      </c>
      <c r="E29" s="24">
        <f>IF(B29="","",N(C29)-D29)</f>
        <v/>
      </c>
      <c r="F29" s="22">
        <f>IF(OR(B29="",N(C29)=0),"",D29/C29)</f>
        <v/>
      </c>
      <c r="H29" s="36">
        <f>IF(OR(B29="",N(D29)=0),"",D29+ROW()/1000000)</f>
        <v/>
      </c>
    </row>
    <row r="30">
      <c r="B30" s="20">
        <f>IF('Setup'!E21="","",'Setup'!E21)</f>
        <v/>
      </c>
      <c r="C30" s="33" t="n">
        <v>30</v>
      </c>
      <c r="D30" s="24">
        <f>IF(B30="","",SUMIFS('Money Log'!$E$7:$E$506,'Money Log'!$D$7:$D$506,B30,'Money Log'!$C$7:$C$506,"Expense",'Money Log'!$G$7:$G$506,PlanMonth))</f>
        <v/>
      </c>
      <c r="E30" s="24">
        <f>IF(B30="","",N(C30)-D30)</f>
        <v/>
      </c>
      <c r="F30" s="22">
        <f>IF(OR(B30="",N(C30)=0),"",D30/C30)</f>
        <v/>
      </c>
      <c r="H30" s="36">
        <f>IF(OR(B30="",N(D30)=0),"",D30+ROW()/1000000)</f>
        <v/>
      </c>
    </row>
    <row r="31">
      <c r="B31" s="20">
        <f>IF('Setup'!E22="","",'Setup'!E22)</f>
        <v/>
      </c>
      <c r="C31" s="33" t="n">
        <v>40</v>
      </c>
      <c r="D31" s="24">
        <f>IF(B31="","",SUMIFS('Money Log'!$E$7:$E$506,'Money Log'!$D$7:$D$506,B31,'Money Log'!$C$7:$C$506,"Expense",'Money Log'!$G$7:$G$506,PlanMonth))</f>
        <v/>
      </c>
      <c r="E31" s="24">
        <f>IF(B31="","",N(C31)-D31)</f>
        <v/>
      </c>
      <c r="F31" s="22">
        <f>IF(OR(B31="",N(C31)=0),"",D31/C31)</f>
        <v/>
      </c>
      <c r="H31" s="36">
        <f>IF(OR(B31="",N(D31)=0),"",D31+ROW()/1000000)</f>
        <v/>
      </c>
    </row>
    <row r="32">
      <c r="B32" s="20">
        <f>IF('Setup'!E23="","",'Setup'!E23)</f>
        <v/>
      </c>
      <c r="C32" s="33" t="n"/>
      <c r="D32" s="24">
        <f>IF(B32="","",SUMIFS('Money Log'!$E$7:$E$506,'Money Log'!$D$7:$D$506,B32,'Money Log'!$C$7:$C$506,"Expense",'Money Log'!$G$7:$G$506,PlanMonth))</f>
        <v/>
      </c>
      <c r="E32" s="24">
        <f>IF(B32="","",N(C32)-D32)</f>
        <v/>
      </c>
      <c r="F32" s="22">
        <f>IF(OR(B32="",N(C32)=0),"",D32/C32)</f>
        <v/>
      </c>
      <c r="H32" s="36">
        <f>IF(OR(B32="",N(D32)=0),"",D32+ROW()/1000000)</f>
        <v/>
      </c>
    </row>
    <row r="33">
      <c r="B33" s="20">
        <f>IF('Setup'!E24="","",'Setup'!E24)</f>
        <v/>
      </c>
      <c r="C33" s="33" t="n">
        <v>60</v>
      </c>
      <c r="D33" s="24">
        <f>IF(B33="","",SUMIFS('Money Log'!$E$7:$E$506,'Money Log'!$D$7:$D$506,B33,'Money Log'!$C$7:$C$506,"Expense",'Money Log'!$G$7:$G$506,PlanMonth))</f>
        <v/>
      </c>
      <c r="E33" s="24">
        <f>IF(B33="","",N(C33)-D33)</f>
        <v/>
      </c>
      <c r="F33" s="22">
        <f>IF(OR(B33="",N(C33)=0),"",D33/C33)</f>
        <v/>
      </c>
      <c r="H33" s="36">
        <f>IF(OR(B33="",N(D33)=0),"",D33+ROW()/1000000)</f>
        <v/>
      </c>
    </row>
    <row r="34">
      <c r="B34" s="20">
        <f>IF('Setup'!E25="","",'Setup'!E25)</f>
        <v/>
      </c>
      <c r="C34" s="33" t="n">
        <v>50</v>
      </c>
      <c r="D34" s="24">
        <f>IF(B34="","",SUMIFS('Money Log'!$E$7:$E$506,'Money Log'!$D$7:$D$506,B34,'Money Log'!$C$7:$C$506,"Expense",'Money Log'!$G$7:$G$506,PlanMonth))</f>
        <v/>
      </c>
      <c r="E34" s="24">
        <f>IF(B34="","",N(C34)-D34)</f>
        <v/>
      </c>
      <c r="F34" s="22">
        <f>IF(OR(B34="",N(C34)=0),"",D34/C34)</f>
        <v/>
      </c>
      <c r="H34" s="36">
        <f>IF(OR(B34="",N(D34)=0),"",D34+ROW()/1000000)</f>
        <v/>
      </c>
    </row>
    <row r="35">
      <c r="B35" s="20">
        <f>IF('Setup'!E26="","",'Setup'!E26)</f>
        <v/>
      </c>
      <c r="C35" s="33" t="n">
        <v>40</v>
      </c>
      <c r="D35" s="24">
        <f>IF(B35="","",SUMIFS('Money Log'!$E$7:$E$506,'Money Log'!$D$7:$D$506,B35,'Money Log'!$C$7:$C$506,"Expense",'Money Log'!$G$7:$G$506,PlanMonth))</f>
        <v/>
      </c>
      <c r="E35" s="24">
        <f>IF(B35="","",N(C35)-D35)</f>
        <v/>
      </c>
      <c r="F35" s="22">
        <f>IF(OR(B35="",N(C35)=0),"",D35/C35)</f>
        <v/>
      </c>
      <c r="H35" s="36">
        <f>IF(OR(B35="",N(D35)=0),"",D35+ROW()/1000000)</f>
        <v/>
      </c>
    </row>
    <row r="36">
      <c r="B36" s="20">
        <f>IF('Setup'!E27="","",'Setup'!E27)</f>
        <v/>
      </c>
      <c r="C36" s="33" t="n">
        <v>300</v>
      </c>
      <c r="D36" s="24">
        <f>IF(B36="","",SUMIFS('Money Log'!$E$7:$E$506,'Money Log'!$D$7:$D$506,B36,'Money Log'!$C$7:$C$506,"Expense",'Money Log'!$G$7:$G$506,PlanMonth))</f>
        <v/>
      </c>
      <c r="E36" s="24">
        <f>IF(B36="","",N(C36)-D36)</f>
        <v/>
      </c>
      <c r="F36" s="22">
        <f>IF(OR(B36="",N(C36)=0),"",D36/C36)</f>
        <v/>
      </c>
      <c r="H36" s="36">
        <f>IF(OR(B36="",N(D36)=0),"",D36+ROW()/1000000)</f>
        <v/>
      </c>
    </row>
    <row r="37">
      <c r="B37" s="20">
        <f>IF('Setup'!E28="","",'Setup'!E28)</f>
        <v/>
      </c>
      <c r="C37" s="33" t="n">
        <v>250</v>
      </c>
      <c r="D37" s="24">
        <f>IF(B37="","",SUMIFS('Money Log'!$E$7:$E$506,'Money Log'!$D$7:$D$506,B37,'Money Log'!$C$7:$C$506,"Expense",'Money Log'!$G$7:$G$506,PlanMonth))</f>
        <v/>
      </c>
      <c r="E37" s="24">
        <f>IF(B37="","",N(C37)-D37)</f>
        <v/>
      </c>
      <c r="F37" s="22">
        <f>IF(OR(B37="",N(C37)=0),"",D37/C37)</f>
        <v/>
      </c>
      <c r="H37" s="36">
        <f>IF(OR(B37="",N(D37)=0),"",D37+ROW()/1000000)</f>
        <v/>
      </c>
    </row>
    <row r="38">
      <c r="B38" s="20">
        <f>IF('Setup'!E29="","",'Setup'!E29)</f>
        <v/>
      </c>
      <c r="C38" s="33" t="n">
        <v>50</v>
      </c>
      <c r="D38" s="24">
        <f>IF(B38="","",SUMIFS('Money Log'!$E$7:$E$506,'Money Log'!$D$7:$D$506,B38,'Money Log'!$C$7:$C$506,"Expense",'Money Log'!$G$7:$G$506,PlanMonth))</f>
        <v/>
      </c>
      <c r="E38" s="24">
        <f>IF(B38="","",N(C38)-D38)</f>
        <v/>
      </c>
      <c r="F38" s="22">
        <f>IF(OR(B38="",N(C38)=0),"",D38/C38)</f>
        <v/>
      </c>
      <c r="H38" s="36">
        <f>IF(OR(B38="",N(D38)=0),"",D38+ROW()/1000000)</f>
        <v/>
      </c>
    </row>
    <row r="39">
      <c r="B39" s="20">
        <f>IF('Setup'!E30="","",'Setup'!E30)</f>
        <v/>
      </c>
      <c r="C39" s="33" t="n"/>
      <c r="D39" s="24">
        <f>IF(B39="","",SUMIFS('Money Log'!$E$7:$E$506,'Money Log'!$D$7:$D$506,B39,'Money Log'!$C$7:$C$506,"Expense",'Money Log'!$G$7:$G$506,PlanMonth))</f>
        <v/>
      </c>
      <c r="E39" s="24">
        <f>IF(B39="","",N(C39)-D39)</f>
        <v/>
      </c>
      <c r="F39" s="22">
        <f>IF(OR(B39="",N(C39)=0),"",D39/C39)</f>
        <v/>
      </c>
      <c r="H39" s="36">
        <f>IF(OR(B39="",N(D39)=0),"",D39+ROW()/1000000)</f>
        <v/>
      </c>
    </row>
    <row r="40">
      <c r="B40" s="20">
        <f>IF('Setup'!E31="","",'Setup'!E31)</f>
        <v/>
      </c>
      <c r="C40" s="33" t="n"/>
      <c r="D40" s="24">
        <f>IF(B40="","",SUMIFS('Money Log'!$E$7:$E$506,'Money Log'!$D$7:$D$506,B40,'Money Log'!$C$7:$C$506,"Expense",'Money Log'!$G$7:$G$506,PlanMonth))</f>
        <v/>
      </c>
      <c r="E40" s="24">
        <f>IF(B40="","",N(C40)-D40)</f>
        <v/>
      </c>
      <c r="F40" s="22">
        <f>IF(OR(B40="",N(C40)=0),"",D40/C40)</f>
        <v/>
      </c>
      <c r="H40" s="36">
        <f>IF(OR(B40="",N(D40)=0),"",D40+ROW()/1000000)</f>
        <v/>
      </c>
    </row>
    <row r="42">
      <c r="B42" s="16" t="inlineStr">
        <is>
          <t>Total income</t>
        </is>
      </c>
      <c r="C42" s="10" t="n"/>
      <c r="D42" s="37">
        <f>SUM(D9:D18)</f>
        <v/>
      </c>
    </row>
    <row r="43">
      <c r="B43" s="16" t="inlineStr">
        <is>
          <t>Total expenses</t>
        </is>
      </c>
      <c r="C43" s="10" t="n"/>
      <c r="D43" s="37">
        <f>SUM(D21:D40)</f>
        <v/>
      </c>
    </row>
    <row r="44">
      <c r="B44" s="16" t="inlineStr">
        <is>
          <t>Balance</t>
        </is>
      </c>
      <c r="C44" s="10" t="n"/>
      <c r="D44" s="37">
        <f>D42-D43</f>
        <v/>
      </c>
    </row>
    <row r="45">
      <c r="B45" s="16" t="inlineStr">
        <is>
          <t>Planned left to spend</t>
        </is>
      </c>
      <c r="C45" s="10" t="n"/>
      <c r="D45" s="37">
        <f>SUM(C21:C40)-D43</f>
        <v/>
      </c>
    </row>
    <row r="46">
      <c r="B46" s="16" t="inlineStr">
        <is>
          <t>Days left this month</t>
        </is>
      </c>
      <c r="C46" s="10" t="n"/>
      <c r="D46" s="38">
        <f>IF(MONTH(TODAY())=MONTH(PlanMonth),DAY(EOMONTH(PlanMonth,0))-DAY(TODAY())+1,"")</f>
        <v/>
      </c>
    </row>
    <row r="47">
      <c r="B47" s="16" t="inlineStr">
        <is>
          <t>Safe to spend per day</t>
        </is>
      </c>
      <c r="C47" s="10" t="n"/>
      <c r="D47" s="37">
        <f>IF(N(D46)=0,"",MAX(0,D45)/D46)</f>
        <v/>
      </c>
    </row>
  </sheetData>
  <mergeCells count="7">
    <mergeCell ref="B44:C44"/>
    <mergeCell ref="B47:C47"/>
    <mergeCell ref="C6:D6"/>
    <mergeCell ref="B45:C45"/>
    <mergeCell ref="B42:C42"/>
    <mergeCell ref="B46:C46"/>
    <mergeCell ref="B43:C43"/>
  </mergeCells>
  <conditionalFormatting sqref="E21:E40">
    <cfRule type="cellIs" priority="1" operator="lessThan" dxfId="0">
      <formula>0</formula>
    </cfRule>
  </conditionalFormatting>
  <conditionalFormatting sqref="F21:F40">
    <cfRule type="dataBar" priority="2">
      <dataBar>
        <cfvo type="num" val="0"/>
        <cfvo type="num" val="1"/>
        <color rgb="00E07A5F"/>
      </dataBar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P43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2" customWidth="1" min="15" max="15"/>
    <col width="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1" t="n"/>
      <c r="B2" s="2" t="inlineStr">
        <is>
          <t>Annual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Twelve months from the Money Log for the year in Setup. Nothing to type.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8" customHeight="1"/>
    <row r="5">
      <c r="C5" s="39">
        <f>DATE('Setup'!$C$9,1,1)</f>
        <v/>
      </c>
      <c r="D5" s="39">
        <f>DATE('Setup'!$C$9,2,1)</f>
        <v/>
      </c>
      <c r="E5" s="39">
        <f>DATE('Setup'!$C$9,3,1)</f>
        <v/>
      </c>
      <c r="F5" s="39">
        <f>DATE('Setup'!$C$9,4,1)</f>
        <v/>
      </c>
      <c r="G5" s="39">
        <f>DATE('Setup'!$C$9,5,1)</f>
        <v/>
      </c>
      <c r="H5" s="39">
        <f>DATE('Setup'!$C$9,6,1)</f>
        <v/>
      </c>
      <c r="I5" s="39">
        <f>DATE('Setup'!$C$9,7,1)</f>
        <v/>
      </c>
      <c r="J5" s="39">
        <f>DATE('Setup'!$C$9,8,1)</f>
        <v/>
      </c>
      <c r="K5" s="39">
        <f>DATE('Setup'!$C$9,9,1)</f>
        <v/>
      </c>
      <c r="L5" s="39">
        <f>DATE('Setup'!$C$9,10,1)</f>
        <v/>
      </c>
      <c r="M5" s="39">
        <f>DATE('Setup'!$C$9,11,1)</f>
        <v/>
      </c>
      <c r="N5" s="39">
        <f>DATE('Setup'!$C$9,12,1)</f>
        <v/>
      </c>
    </row>
    <row r="6" ht="28" customHeight="1">
      <c r="B6" s="19" t="inlineStr">
        <is>
          <t>Category</t>
        </is>
      </c>
      <c r="C6" s="19" t="inlineStr">
        <is>
          <t>Jan</t>
        </is>
      </c>
      <c r="D6" s="19" t="inlineStr">
        <is>
          <t>Feb</t>
        </is>
      </c>
      <c r="E6" s="19" t="inlineStr">
        <is>
          <t>Mar</t>
        </is>
      </c>
      <c r="F6" s="19" t="inlineStr">
        <is>
          <t>Apr</t>
        </is>
      </c>
      <c r="G6" s="19" t="inlineStr">
        <is>
          <t>May</t>
        </is>
      </c>
      <c r="H6" s="19" t="inlineStr">
        <is>
          <t>Jun</t>
        </is>
      </c>
      <c r="I6" s="19" t="inlineStr">
        <is>
          <t>Jul</t>
        </is>
      </c>
      <c r="J6" s="19" t="inlineStr">
        <is>
          <t>Aug</t>
        </is>
      </c>
      <c r="K6" s="19" t="inlineStr">
        <is>
          <t>Sep</t>
        </is>
      </c>
      <c r="L6" s="19" t="inlineStr">
        <is>
          <t>Oct</t>
        </is>
      </c>
      <c r="M6" s="19" t="inlineStr">
        <is>
          <t>Nov</t>
        </is>
      </c>
      <c r="N6" s="19" t="inlineStr">
        <is>
          <t>Dec</t>
        </is>
      </c>
      <c r="O6" s="19" t="inlineStr">
        <is>
          <t>Year</t>
        </is>
      </c>
    </row>
    <row r="7">
      <c r="B7" s="40" t="inlineStr">
        <is>
          <t>INCOME</t>
        </is>
      </c>
    </row>
    <row r="8">
      <c r="B8" s="41">
        <f>IF('Setup'!B12="","",'Setup'!B12)</f>
        <v/>
      </c>
      <c r="C8" s="41">
        <f>IF($B8="","",SUMIFS('Money Log'!$E$7:$E$506,'Money Log'!$D$7:$D$506,$B8,'Money Log'!$C$7:$C$506,"Income",'Money Log'!$G$7:$G$506,C$5))</f>
        <v/>
      </c>
      <c r="D8" s="41">
        <f>IF($B8="","",SUMIFS('Money Log'!$E$7:$E$506,'Money Log'!$D$7:$D$506,$B8,'Money Log'!$C$7:$C$506,"Income",'Money Log'!$G$7:$G$506,D$5))</f>
        <v/>
      </c>
      <c r="E8" s="41">
        <f>IF($B8="","",SUMIFS('Money Log'!$E$7:$E$506,'Money Log'!$D$7:$D$506,$B8,'Money Log'!$C$7:$C$506,"Income",'Money Log'!$G$7:$G$506,E$5))</f>
        <v/>
      </c>
      <c r="F8" s="41">
        <f>IF($B8="","",SUMIFS('Money Log'!$E$7:$E$506,'Money Log'!$D$7:$D$506,$B8,'Money Log'!$C$7:$C$506,"Income",'Money Log'!$G$7:$G$506,F$5))</f>
        <v/>
      </c>
      <c r="G8" s="41">
        <f>IF($B8="","",SUMIFS('Money Log'!$E$7:$E$506,'Money Log'!$D$7:$D$506,$B8,'Money Log'!$C$7:$C$506,"Income",'Money Log'!$G$7:$G$506,G$5))</f>
        <v/>
      </c>
      <c r="H8" s="41">
        <f>IF($B8="","",SUMIFS('Money Log'!$E$7:$E$506,'Money Log'!$D$7:$D$506,$B8,'Money Log'!$C$7:$C$506,"Income",'Money Log'!$G$7:$G$506,H$5))</f>
        <v/>
      </c>
      <c r="I8" s="41">
        <f>IF($B8="","",SUMIFS('Money Log'!$E$7:$E$506,'Money Log'!$D$7:$D$506,$B8,'Money Log'!$C$7:$C$506,"Income",'Money Log'!$G$7:$G$506,I$5))</f>
        <v/>
      </c>
      <c r="J8" s="41">
        <f>IF($B8="","",SUMIFS('Money Log'!$E$7:$E$506,'Money Log'!$D$7:$D$506,$B8,'Money Log'!$C$7:$C$506,"Income",'Money Log'!$G$7:$G$506,J$5))</f>
        <v/>
      </c>
      <c r="K8" s="41">
        <f>IF($B8="","",SUMIFS('Money Log'!$E$7:$E$506,'Money Log'!$D$7:$D$506,$B8,'Money Log'!$C$7:$C$506,"Income",'Money Log'!$G$7:$G$506,K$5))</f>
        <v/>
      </c>
      <c r="L8" s="41">
        <f>IF($B8="","",SUMIFS('Money Log'!$E$7:$E$506,'Money Log'!$D$7:$D$506,$B8,'Money Log'!$C$7:$C$506,"Income",'Money Log'!$G$7:$G$506,L$5))</f>
        <v/>
      </c>
      <c r="M8" s="41">
        <f>IF($B8="","",SUMIFS('Money Log'!$E$7:$E$506,'Money Log'!$D$7:$D$506,$B8,'Money Log'!$C$7:$C$506,"Income",'Money Log'!$G$7:$G$506,M$5))</f>
        <v/>
      </c>
      <c r="N8" s="41">
        <f>IF($B8="","",SUMIFS('Money Log'!$E$7:$E$506,'Money Log'!$D$7:$D$506,$B8,'Money Log'!$C$7:$C$506,"Income",'Money Log'!$G$7:$G$506,N$5))</f>
        <v/>
      </c>
      <c r="O8" s="41">
        <f>IF($B8="","",SUM(C8:N8))</f>
        <v/>
      </c>
    </row>
    <row r="9">
      <c r="B9" s="41">
        <f>IF('Setup'!B13="","",'Setup'!B13)</f>
        <v/>
      </c>
      <c r="C9" s="41">
        <f>IF($B9="","",SUMIFS('Money Log'!$E$7:$E$506,'Money Log'!$D$7:$D$506,$B9,'Money Log'!$C$7:$C$506,"Income",'Money Log'!$G$7:$G$506,C$5))</f>
        <v/>
      </c>
      <c r="D9" s="41">
        <f>IF($B9="","",SUMIFS('Money Log'!$E$7:$E$506,'Money Log'!$D$7:$D$506,$B9,'Money Log'!$C$7:$C$506,"Income",'Money Log'!$G$7:$G$506,D$5))</f>
        <v/>
      </c>
      <c r="E9" s="41">
        <f>IF($B9="","",SUMIFS('Money Log'!$E$7:$E$506,'Money Log'!$D$7:$D$506,$B9,'Money Log'!$C$7:$C$506,"Income",'Money Log'!$G$7:$G$506,E$5))</f>
        <v/>
      </c>
      <c r="F9" s="41">
        <f>IF($B9="","",SUMIFS('Money Log'!$E$7:$E$506,'Money Log'!$D$7:$D$506,$B9,'Money Log'!$C$7:$C$506,"Income",'Money Log'!$G$7:$G$506,F$5))</f>
        <v/>
      </c>
      <c r="G9" s="41">
        <f>IF($B9="","",SUMIFS('Money Log'!$E$7:$E$506,'Money Log'!$D$7:$D$506,$B9,'Money Log'!$C$7:$C$506,"Income",'Money Log'!$G$7:$G$506,G$5))</f>
        <v/>
      </c>
      <c r="H9" s="41">
        <f>IF($B9="","",SUMIFS('Money Log'!$E$7:$E$506,'Money Log'!$D$7:$D$506,$B9,'Money Log'!$C$7:$C$506,"Income",'Money Log'!$G$7:$G$506,H$5))</f>
        <v/>
      </c>
      <c r="I9" s="41">
        <f>IF($B9="","",SUMIFS('Money Log'!$E$7:$E$506,'Money Log'!$D$7:$D$506,$B9,'Money Log'!$C$7:$C$506,"Income",'Money Log'!$G$7:$G$506,I$5))</f>
        <v/>
      </c>
      <c r="J9" s="41">
        <f>IF($B9="","",SUMIFS('Money Log'!$E$7:$E$506,'Money Log'!$D$7:$D$506,$B9,'Money Log'!$C$7:$C$506,"Income",'Money Log'!$G$7:$G$506,J$5))</f>
        <v/>
      </c>
      <c r="K9" s="41">
        <f>IF($B9="","",SUMIFS('Money Log'!$E$7:$E$506,'Money Log'!$D$7:$D$506,$B9,'Money Log'!$C$7:$C$506,"Income",'Money Log'!$G$7:$G$506,K$5))</f>
        <v/>
      </c>
      <c r="L9" s="41">
        <f>IF($B9="","",SUMIFS('Money Log'!$E$7:$E$506,'Money Log'!$D$7:$D$506,$B9,'Money Log'!$C$7:$C$506,"Income",'Money Log'!$G$7:$G$506,L$5))</f>
        <v/>
      </c>
      <c r="M9" s="41">
        <f>IF($B9="","",SUMIFS('Money Log'!$E$7:$E$506,'Money Log'!$D$7:$D$506,$B9,'Money Log'!$C$7:$C$506,"Income",'Money Log'!$G$7:$G$506,M$5))</f>
        <v/>
      </c>
      <c r="N9" s="41">
        <f>IF($B9="","",SUMIFS('Money Log'!$E$7:$E$506,'Money Log'!$D$7:$D$506,$B9,'Money Log'!$C$7:$C$506,"Income",'Money Log'!$G$7:$G$506,N$5))</f>
        <v/>
      </c>
      <c r="O9" s="41">
        <f>IF($B9="","",SUM(C9:N9))</f>
        <v/>
      </c>
    </row>
    <row r="10">
      <c r="B10" s="41">
        <f>IF('Setup'!B14="","",'Setup'!B14)</f>
        <v/>
      </c>
      <c r="C10" s="41">
        <f>IF($B10="","",SUMIFS('Money Log'!$E$7:$E$506,'Money Log'!$D$7:$D$506,$B10,'Money Log'!$C$7:$C$506,"Income",'Money Log'!$G$7:$G$506,C$5))</f>
        <v/>
      </c>
      <c r="D10" s="41">
        <f>IF($B10="","",SUMIFS('Money Log'!$E$7:$E$506,'Money Log'!$D$7:$D$506,$B10,'Money Log'!$C$7:$C$506,"Income",'Money Log'!$G$7:$G$506,D$5))</f>
        <v/>
      </c>
      <c r="E10" s="41">
        <f>IF($B10="","",SUMIFS('Money Log'!$E$7:$E$506,'Money Log'!$D$7:$D$506,$B10,'Money Log'!$C$7:$C$506,"Income",'Money Log'!$G$7:$G$506,E$5))</f>
        <v/>
      </c>
      <c r="F10" s="41">
        <f>IF($B10="","",SUMIFS('Money Log'!$E$7:$E$506,'Money Log'!$D$7:$D$506,$B10,'Money Log'!$C$7:$C$506,"Income",'Money Log'!$G$7:$G$506,F$5))</f>
        <v/>
      </c>
      <c r="G10" s="41">
        <f>IF($B10="","",SUMIFS('Money Log'!$E$7:$E$506,'Money Log'!$D$7:$D$506,$B10,'Money Log'!$C$7:$C$506,"Income",'Money Log'!$G$7:$G$506,G$5))</f>
        <v/>
      </c>
      <c r="H10" s="41">
        <f>IF($B10="","",SUMIFS('Money Log'!$E$7:$E$506,'Money Log'!$D$7:$D$506,$B10,'Money Log'!$C$7:$C$506,"Income",'Money Log'!$G$7:$G$506,H$5))</f>
        <v/>
      </c>
      <c r="I10" s="41">
        <f>IF($B10="","",SUMIFS('Money Log'!$E$7:$E$506,'Money Log'!$D$7:$D$506,$B10,'Money Log'!$C$7:$C$506,"Income",'Money Log'!$G$7:$G$506,I$5))</f>
        <v/>
      </c>
      <c r="J10" s="41">
        <f>IF($B10="","",SUMIFS('Money Log'!$E$7:$E$506,'Money Log'!$D$7:$D$506,$B10,'Money Log'!$C$7:$C$506,"Income",'Money Log'!$G$7:$G$506,J$5))</f>
        <v/>
      </c>
      <c r="K10" s="41">
        <f>IF($B10="","",SUMIFS('Money Log'!$E$7:$E$506,'Money Log'!$D$7:$D$506,$B10,'Money Log'!$C$7:$C$506,"Income",'Money Log'!$G$7:$G$506,K$5))</f>
        <v/>
      </c>
      <c r="L10" s="41">
        <f>IF($B10="","",SUMIFS('Money Log'!$E$7:$E$506,'Money Log'!$D$7:$D$506,$B10,'Money Log'!$C$7:$C$506,"Income",'Money Log'!$G$7:$G$506,L$5))</f>
        <v/>
      </c>
      <c r="M10" s="41">
        <f>IF($B10="","",SUMIFS('Money Log'!$E$7:$E$506,'Money Log'!$D$7:$D$506,$B10,'Money Log'!$C$7:$C$506,"Income",'Money Log'!$G$7:$G$506,M$5))</f>
        <v/>
      </c>
      <c r="N10" s="41">
        <f>IF($B10="","",SUMIFS('Money Log'!$E$7:$E$506,'Money Log'!$D$7:$D$506,$B10,'Money Log'!$C$7:$C$506,"Income",'Money Log'!$G$7:$G$506,N$5))</f>
        <v/>
      </c>
      <c r="O10" s="41">
        <f>IF($B10="","",SUM(C10:N10))</f>
        <v/>
      </c>
    </row>
    <row r="11">
      <c r="B11" s="41">
        <f>IF('Setup'!B15="","",'Setup'!B15)</f>
        <v/>
      </c>
      <c r="C11" s="41">
        <f>IF($B11="","",SUMIFS('Money Log'!$E$7:$E$506,'Money Log'!$D$7:$D$506,$B11,'Money Log'!$C$7:$C$506,"Income",'Money Log'!$G$7:$G$506,C$5))</f>
        <v/>
      </c>
      <c r="D11" s="41">
        <f>IF($B11="","",SUMIFS('Money Log'!$E$7:$E$506,'Money Log'!$D$7:$D$506,$B11,'Money Log'!$C$7:$C$506,"Income",'Money Log'!$G$7:$G$506,D$5))</f>
        <v/>
      </c>
      <c r="E11" s="41">
        <f>IF($B11="","",SUMIFS('Money Log'!$E$7:$E$506,'Money Log'!$D$7:$D$506,$B11,'Money Log'!$C$7:$C$506,"Income",'Money Log'!$G$7:$G$506,E$5))</f>
        <v/>
      </c>
      <c r="F11" s="41">
        <f>IF($B11="","",SUMIFS('Money Log'!$E$7:$E$506,'Money Log'!$D$7:$D$506,$B11,'Money Log'!$C$7:$C$506,"Income",'Money Log'!$G$7:$G$506,F$5))</f>
        <v/>
      </c>
      <c r="G11" s="41">
        <f>IF($B11="","",SUMIFS('Money Log'!$E$7:$E$506,'Money Log'!$D$7:$D$506,$B11,'Money Log'!$C$7:$C$506,"Income",'Money Log'!$G$7:$G$506,G$5))</f>
        <v/>
      </c>
      <c r="H11" s="41">
        <f>IF($B11="","",SUMIFS('Money Log'!$E$7:$E$506,'Money Log'!$D$7:$D$506,$B11,'Money Log'!$C$7:$C$506,"Income",'Money Log'!$G$7:$G$506,H$5))</f>
        <v/>
      </c>
      <c r="I11" s="41">
        <f>IF($B11="","",SUMIFS('Money Log'!$E$7:$E$506,'Money Log'!$D$7:$D$506,$B11,'Money Log'!$C$7:$C$506,"Income",'Money Log'!$G$7:$G$506,I$5))</f>
        <v/>
      </c>
      <c r="J11" s="41">
        <f>IF($B11="","",SUMIFS('Money Log'!$E$7:$E$506,'Money Log'!$D$7:$D$506,$B11,'Money Log'!$C$7:$C$506,"Income",'Money Log'!$G$7:$G$506,J$5))</f>
        <v/>
      </c>
      <c r="K11" s="41">
        <f>IF($B11="","",SUMIFS('Money Log'!$E$7:$E$506,'Money Log'!$D$7:$D$506,$B11,'Money Log'!$C$7:$C$506,"Income",'Money Log'!$G$7:$G$506,K$5))</f>
        <v/>
      </c>
      <c r="L11" s="41">
        <f>IF($B11="","",SUMIFS('Money Log'!$E$7:$E$506,'Money Log'!$D$7:$D$506,$B11,'Money Log'!$C$7:$C$506,"Income",'Money Log'!$G$7:$G$506,L$5))</f>
        <v/>
      </c>
      <c r="M11" s="41">
        <f>IF($B11="","",SUMIFS('Money Log'!$E$7:$E$506,'Money Log'!$D$7:$D$506,$B11,'Money Log'!$C$7:$C$506,"Income",'Money Log'!$G$7:$G$506,M$5))</f>
        <v/>
      </c>
      <c r="N11" s="41">
        <f>IF($B11="","",SUMIFS('Money Log'!$E$7:$E$506,'Money Log'!$D$7:$D$506,$B11,'Money Log'!$C$7:$C$506,"Income",'Money Log'!$G$7:$G$506,N$5))</f>
        <v/>
      </c>
      <c r="O11" s="41">
        <f>IF($B11="","",SUM(C11:N11))</f>
        <v/>
      </c>
    </row>
    <row r="12">
      <c r="B12" s="41">
        <f>IF('Setup'!B16="","",'Setup'!B16)</f>
        <v/>
      </c>
      <c r="C12" s="41">
        <f>IF($B12="","",SUMIFS('Money Log'!$E$7:$E$506,'Money Log'!$D$7:$D$506,$B12,'Money Log'!$C$7:$C$506,"Income",'Money Log'!$G$7:$G$506,C$5))</f>
        <v/>
      </c>
      <c r="D12" s="41">
        <f>IF($B12="","",SUMIFS('Money Log'!$E$7:$E$506,'Money Log'!$D$7:$D$506,$B12,'Money Log'!$C$7:$C$506,"Income",'Money Log'!$G$7:$G$506,D$5))</f>
        <v/>
      </c>
      <c r="E12" s="41">
        <f>IF($B12="","",SUMIFS('Money Log'!$E$7:$E$506,'Money Log'!$D$7:$D$506,$B12,'Money Log'!$C$7:$C$506,"Income",'Money Log'!$G$7:$G$506,E$5))</f>
        <v/>
      </c>
      <c r="F12" s="41">
        <f>IF($B12="","",SUMIFS('Money Log'!$E$7:$E$506,'Money Log'!$D$7:$D$506,$B12,'Money Log'!$C$7:$C$506,"Income",'Money Log'!$G$7:$G$506,F$5))</f>
        <v/>
      </c>
      <c r="G12" s="41">
        <f>IF($B12="","",SUMIFS('Money Log'!$E$7:$E$506,'Money Log'!$D$7:$D$506,$B12,'Money Log'!$C$7:$C$506,"Income",'Money Log'!$G$7:$G$506,G$5))</f>
        <v/>
      </c>
      <c r="H12" s="41">
        <f>IF($B12="","",SUMIFS('Money Log'!$E$7:$E$506,'Money Log'!$D$7:$D$506,$B12,'Money Log'!$C$7:$C$506,"Income",'Money Log'!$G$7:$G$506,H$5))</f>
        <v/>
      </c>
      <c r="I12" s="41">
        <f>IF($B12="","",SUMIFS('Money Log'!$E$7:$E$506,'Money Log'!$D$7:$D$506,$B12,'Money Log'!$C$7:$C$506,"Income",'Money Log'!$G$7:$G$506,I$5))</f>
        <v/>
      </c>
      <c r="J12" s="41">
        <f>IF($B12="","",SUMIFS('Money Log'!$E$7:$E$506,'Money Log'!$D$7:$D$506,$B12,'Money Log'!$C$7:$C$506,"Income",'Money Log'!$G$7:$G$506,J$5))</f>
        <v/>
      </c>
      <c r="K12" s="41">
        <f>IF($B12="","",SUMIFS('Money Log'!$E$7:$E$506,'Money Log'!$D$7:$D$506,$B12,'Money Log'!$C$7:$C$506,"Income",'Money Log'!$G$7:$G$506,K$5))</f>
        <v/>
      </c>
      <c r="L12" s="41">
        <f>IF($B12="","",SUMIFS('Money Log'!$E$7:$E$506,'Money Log'!$D$7:$D$506,$B12,'Money Log'!$C$7:$C$506,"Income",'Money Log'!$G$7:$G$506,L$5))</f>
        <v/>
      </c>
      <c r="M12" s="41">
        <f>IF($B12="","",SUMIFS('Money Log'!$E$7:$E$506,'Money Log'!$D$7:$D$506,$B12,'Money Log'!$C$7:$C$506,"Income",'Money Log'!$G$7:$G$506,M$5))</f>
        <v/>
      </c>
      <c r="N12" s="41">
        <f>IF($B12="","",SUMIFS('Money Log'!$E$7:$E$506,'Money Log'!$D$7:$D$506,$B12,'Money Log'!$C$7:$C$506,"Income",'Money Log'!$G$7:$G$506,N$5))</f>
        <v/>
      </c>
      <c r="O12" s="41">
        <f>IF($B12="","",SUM(C12:N12))</f>
        <v/>
      </c>
    </row>
    <row r="13">
      <c r="B13" s="41">
        <f>IF('Setup'!B17="","",'Setup'!B17)</f>
        <v/>
      </c>
      <c r="C13" s="41">
        <f>IF($B13="","",SUMIFS('Money Log'!$E$7:$E$506,'Money Log'!$D$7:$D$506,$B13,'Money Log'!$C$7:$C$506,"Income",'Money Log'!$G$7:$G$506,C$5))</f>
        <v/>
      </c>
      <c r="D13" s="41">
        <f>IF($B13="","",SUMIFS('Money Log'!$E$7:$E$506,'Money Log'!$D$7:$D$506,$B13,'Money Log'!$C$7:$C$506,"Income",'Money Log'!$G$7:$G$506,D$5))</f>
        <v/>
      </c>
      <c r="E13" s="41">
        <f>IF($B13="","",SUMIFS('Money Log'!$E$7:$E$506,'Money Log'!$D$7:$D$506,$B13,'Money Log'!$C$7:$C$506,"Income",'Money Log'!$G$7:$G$506,E$5))</f>
        <v/>
      </c>
      <c r="F13" s="41">
        <f>IF($B13="","",SUMIFS('Money Log'!$E$7:$E$506,'Money Log'!$D$7:$D$506,$B13,'Money Log'!$C$7:$C$506,"Income",'Money Log'!$G$7:$G$506,F$5))</f>
        <v/>
      </c>
      <c r="G13" s="41">
        <f>IF($B13="","",SUMIFS('Money Log'!$E$7:$E$506,'Money Log'!$D$7:$D$506,$B13,'Money Log'!$C$7:$C$506,"Income",'Money Log'!$G$7:$G$506,G$5))</f>
        <v/>
      </c>
      <c r="H13" s="41">
        <f>IF($B13="","",SUMIFS('Money Log'!$E$7:$E$506,'Money Log'!$D$7:$D$506,$B13,'Money Log'!$C$7:$C$506,"Income",'Money Log'!$G$7:$G$506,H$5))</f>
        <v/>
      </c>
      <c r="I13" s="41">
        <f>IF($B13="","",SUMIFS('Money Log'!$E$7:$E$506,'Money Log'!$D$7:$D$506,$B13,'Money Log'!$C$7:$C$506,"Income",'Money Log'!$G$7:$G$506,I$5))</f>
        <v/>
      </c>
      <c r="J13" s="41">
        <f>IF($B13="","",SUMIFS('Money Log'!$E$7:$E$506,'Money Log'!$D$7:$D$506,$B13,'Money Log'!$C$7:$C$506,"Income",'Money Log'!$G$7:$G$506,J$5))</f>
        <v/>
      </c>
      <c r="K13" s="41">
        <f>IF($B13="","",SUMIFS('Money Log'!$E$7:$E$506,'Money Log'!$D$7:$D$506,$B13,'Money Log'!$C$7:$C$506,"Income",'Money Log'!$G$7:$G$506,K$5))</f>
        <v/>
      </c>
      <c r="L13" s="41">
        <f>IF($B13="","",SUMIFS('Money Log'!$E$7:$E$506,'Money Log'!$D$7:$D$506,$B13,'Money Log'!$C$7:$C$506,"Income",'Money Log'!$G$7:$G$506,L$5))</f>
        <v/>
      </c>
      <c r="M13" s="41">
        <f>IF($B13="","",SUMIFS('Money Log'!$E$7:$E$506,'Money Log'!$D$7:$D$506,$B13,'Money Log'!$C$7:$C$506,"Income",'Money Log'!$G$7:$G$506,M$5))</f>
        <v/>
      </c>
      <c r="N13" s="41">
        <f>IF($B13="","",SUMIFS('Money Log'!$E$7:$E$506,'Money Log'!$D$7:$D$506,$B13,'Money Log'!$C$7:$C$506,"Income",'Money Log'!$G$7:$G$506,N$5))</f>
        <v/>
      </c>
      <c r="O13" s="41">
        <f>IF($B13="","",SUM(C13:N13))</f>
        <v/>
      </c>
    </row>
    <row r="14">
      <c r="B14" s="41">
        <f>IF('Setup'!B18="","",'Setup'!B18)</f>
        <v/>
      </c>
      <c r="C14" s="41">
        <f>IF($B14="","",SUMIFS('Money Log'!$E$7:$E$506,'Money Log'!$D$7:$D$506,$B14,'Money Log'!$C$7:$C$506,"Income",'Money Log'!$G$7:$G$506,C$5))</f>
        <v/>
      </c>
      <c r="D14" s="41">
        <f>IF($B14="","",SUMIFS('Money Log'!$E$7:$E$506,'Money Log'!$D$7:$D$506,$B14,'Money Log'!$C$7:$C$506,"Income",'Money Log'!$G$7:$G$506,D$5))</f>
        <v/>
      </c>
      <c r="E14" s="41">
        <f>IF($B14="","",SUMIFS('Money Log'!$E$7:$E$506,'Money Log'!$D$7:$D$506,$B14,'Money Log'!$C$7:$C$506,"Income",'Money Log'!$G$7:$G$506,E$5))</f>
        <v/>
      </c>
      <c r="F14" s="41">
        <f>IF($B14="","",SUMIFS('Money Log'!$E$7:$E$506,'Money Log'!$D$7:$D$506,$B14,'Money Log'!$C$7:$C$506,"Income",'Money Log'!$G$7:$G$506,F$5))</f>
        <v/>
      </c>
      <c r="G14" s="41">
        <f>IF($B14="","",SUMIFS('Money Log'!$E$7:$E$506,'Money Log'!$D$7:$D$506,$B14,'Money Log'!$C$7:$C$506,"Income",'Money Log'!$G$7:$G$506,G$5))</f>
        <v/>
      </c>
      <c r="H14" s="41">
        <f>IF($B14="","",SUMIFS('Money Log'!$E$7:$E$506,'Money Log'!$D$7:$D$506,$B14,'Money Log'!$C$7:$C$506,"Income",'Money Log'!$G$7:$G$506,H$5))</f>
        <v/>
      </c>
      <c r="I14" s="41">
        <f>IF($B14="","",SUMIFS('Money Log'!$E$7:$E$506,'Money Log'!$D$7:$D$506,$B14,'Money Log'!$C$7:$C$506,"Income",'Money Log'!$G$7:$G$506,I$5))</f>
        <v/>
      </c>
      <c r="J14" s="41">
        <f>IF($B14="","",SUMIFS('Money Log'!$E$7:$E$506,'Money Log'!$D$7:$D$506,$B14,'Money Log'!$C$7:$C$506,"Income",'Money Log'!$G$7:$G$506,J$5))</f>
        <v/>
      </c>
      <c r="K14" s="41">
        <f>IF($B14="","",SUMIFS('Money Log'!$E$7:$E$506,'Money Log'!$D$7:$D$506,$B14,'Money Log'!$C$7:$C$506,"Income",'Money Log'!$G$7:$G$506,K$5))</f>
        <v/>
      </c>
      <c r="L14" s="41">
        <f>IF($B14="","",SUMIFS('Money Log'!$E$7:$E$506,'Money Log'!$D$7:$D$506,$B14,'Money Log'!$C$7:$C$506,"Income",'Money Log'!$G$7:$G$506,L$5))</f>
        <v/>
      </c>
      <c r="M14" s="41">
        <f>IF($B14="","",SUMIFS('Money Log'!$E$7:$E$506,'Money Log'!$D$7:$D$506,$B14,'Money Log'!$C$7:$C$506,"Income",'Money Log'!$G$7:$G$506,M$5))</f>
        <v/>
      </c>
      <c r="N14" s="41">
        <f>IF($B14="","",SUMIFS('Money Log'!$E$7:$E$506,'Money Log'!$D$7:$D$506,$B14,'Money Log'!$C$7:$C$506,"Income",'Money Log'!$G$7:$G$506,N$5))</f>
        <v/>
      </c>
      <c r="O14" s="41">
        <f>IF($B14="","",SUM(C14:N14))</f>
        <v/>
      </c>
    </row>
    <row r="15">
      <c r="B15" s="41">
        <f>IF('Setup'!B19="","",'Setup'!B19)</f>
        <v/>
      </c>
      <c r="C15" s="41">
        <f>IF($B15="","",SUMIFS('Money Log'!$E$7:$E$506,'Money Log'!$D$7:$D$506,$B15,'Money Log'!$C$7:$C$506,"Income",'Money Log'!$G$7:$G$506,C$5))</f>
        <v/>
      </c>
      <c r="D15" s="41">
        <f>IF($B15="","",SUMIFS('Money Log'!$E$7:$E$506,'Money Log'!$D$7:$D$506,$B15,'Money Log'!$C$7:$C$506,"Income",'Money Log'!$G$7:$G$506,D$5))</f>
        <v/>
      </c>
      <c r="E15" s="41">
        <f>IF($B15="","",SUMIFS('Money Log'!$E$7:$E$506,'Money Log'!$D$7:$D$506,$B15,'Money Log'!$C$7:$C$506,"Income",'Money Log'!$G$7:$G$506,E$5))</f>
        <v/>
      </c>
      <c r="F15" s="41">
        <f>IF($B15="","",SUMIFS('Money Log'!$E$7:$E$506,'Money Log'!$D$7:$D$506,$B15,'Money Log'!$C$7:$C$506,"Income",'Money Log'!$G$7:$G$506,F$5))</f>
        <v/>
      </c>
      <c r="G15" s="41">
        <f>IF($B15="","",SUMIFS('Money Log'!$E$7:$E$506,'Money Log'!$D$7:$D$506,$B15,'Money Log'!$C$7:$C$506,"Income",'Money Log'!$G$7:$G$506,G$5))</f>
        <v/>
      </c>
      <c r="H15" s="41">
        <f>IF($B15="","",SUMIFS('Money Log'!$E$7:$E$506,'Money Log'!$D$7:$D$506,$B15,'Money Log'!$C$7:$C$506,"Income",'Money Log'!$G$7:$G$506,H$5))</f>
        <v/>
      </c>
      <c r="I15" s="41">
        <f>IF($B15="","",SUMIFS('Money Log'!$E$7:$E$506,'Money Log'!$D$7:$D$506,$B15,'Money Log'!$C$7:$C$506,"Income",'Money Log'!$G$7:$G$506,I$5))</f>
        <v/>
      </c>
      <c r="J15" s="41">
        <f>IF($B15="","",SUMIFS('Money Log'!$E$7:$E$506,'Money Log'!$D$7:$D$506,$B15,'Money Log'!$C$7:$C$506,"Income",'Money Log'!$G$7:$G$506,J$5))</f>
        <v/>
      </c>
      <c r="K15" s="41">
        <f>IF($B15="","",SUMIFS('Money Log'!$E$7:$E$506,'Money Log'!$D$7:$D$506,$B15,'Money Log'!$C$7:$C$506,"Income",'Money Log'!$G$7:$G$506,K$5))</f>
        <v/>
      </c>
      <c r="L15" s="41">
        <f>IF($B15="","",SUMIFS('Money Log'!$E$7:$E$506,'Money Log'!$D$7:$D$506,$B15,'Money Log'!$C$7:$C$506,"Income",'Money Log'!$G$7:$G$506,L$5))</f>
        <v/>
      </c>
      <c r="M15" s="41">
        <f>IF($B15="","",SUMIFS('Money Log'!$E$7:$E$506,'Money Log'!$D$7:$D$506,$B15,'Money Log'!$C$7:$C$506,"Income",'Money Log'!$G$7:$G$506,M$5))</f>
        <v/>
      </c>
      <c r="N15" s="41">
        <f>IF($B15="","",SUMIFS('Money Log'!$E$7:$E$506,'Money Log'!$D$7:$D$506,$B15,'Money Log'!$C$7:$C$506,"Income",'Money Log'!$G$7:$G$506,N$5))</f>
        <v/>
      </c>
      <c r="O15" s="41">
        <f>IF($B15="","",SUM(C15:N15))</f>
        <v/>
      </c>
    </row>
    <row r="16">
      <c r="B16" s="41">
        <f>IF('Setup'!B20="","",'Setup'!B20)</f>
        <v/>
      </c>
      <c r="C16" s="41">
        <f>IF($B16="","",SUMIFS('Money Log'!$E$7:$E$506,'Money Log'!$D$7:$D$506,$B16,'Money Log'!$C$7:$C$506,"Income",'Money Log'!$G$7:$G$506,C$5))</f>
        <v/>
      </c>
      <c r="D16" s="41">
        <f>IF($B16="","",SUMIFS('Money Log'!$E$7:$E$506,'Money Log'!$D$7:$D$506,$B16,'Money Log'!$C$7:$C$506,"Income",'Money Log'!$G$7:$G$506,D$5))</f>
        <v/>
      </c>
      <c r="E16" s="41">
        <f>IF($B16="","",SUMIFS('Money Log'!$E$7:$E$506,'Money Log'!$D$7:$D$506,$B16,'Money Log'!$C$7:$C$506,"Income",'Money Log'!$G$7:$G$506,E$5))</f>
        <v/>
      </c>
      <c r="F16" s="41">
        <f>IF($B16="","",SUMIFS('Money Log'!$E$7:$E$506,'Money Log'!$D$7:$D$506,$B16,'Money Log'!$C$7:$C$506,"Income",'Money Log'!$G$7:$G$506,F$5))</f>
        <v/>
      </c>
      <c r="G16" s="41">
        <f>IF($B16="","",SUMIFS('Money Log'!$E$7:$E$506,'Money Log'!$D$7:$D$506,$B16,'Money Log'!$C$7:$C$506,"Income",'Money Log'!$G$7:$G$506,G$5))</f>
        <v/>
      </c>
      <c r="H16" s="41">
        <f>IF($B16="","",SUMIFS('Money Log'!$E$7:$E$506,'Money Log'!$D$7:$D$506,$B16,'Money Log'!$C$7:$C$506,"Income",'Money Log'!$G$7:$G$506,H$5))</f>
        <v/>
      </c>
      <c r="I16" s="41">
        <f>IF($B16="","",SUMIFS('Money Log'!$E$7:$E$506,'Money Log'!$D$7:$D$506,$B16,'Money Log'!$C$7:$C$506,"Income",'Money Log'!$G$7:$G$506,I$5))</f>
        <v/>
      </c>
      <c r="J16" s="41">
        <f>IF($B16="","",SUMIFS('Money Log'!$E$7:$E$506,'Money Log'!$D$7:$D$506,$B16,'Money Log'!$C$7:$C$506,"Income",'Money Log'!$G$7:$G$506,J$5))</f>
        <v/>
      </c>
      <c r="K16" s="41">
        <f>IF($B16="","",SUMIFS('Money Log'!$E$7:$E$506,'Money Log'!$D$7:$D$506,$B16,'Money Log'!$C$7:$C$506,"Income",'Money Log'!$G$7:$G$506,K$5))</f>
        <v/>
      </c>
      <c r="L16" s="41">
        <f>IF($B16="","",SUMIFS('Money Log'!$E$7:$E$506,'Money Log'!$D$7:$D$506,$B16,'Money Log'!$C$7:$C$506,"Income",'Money Log'!$G$7:$G$506,L$5))</f>
        <v/>
      </c>
      <c r="M16" s="41">
        <f>IF($B16="","",SUMIFS('Money Log'!$E$7:$E$506,'Money Log'!$D$7:$D$506,$B16,'Money Log'!$C$7:$C$506,"Income",'Money Log'!$G$7:$G$506,M$5))</f>
        <v/>
      </c>
      <c r="N16" s="41">
        <f>IF($B16="","",SUMIFS('Money Log'!$E$7:$E$506,'Money Log'!$D$7:$D$506,$B16,'Money Log'!$C$7:$C$506,"Income",'Money Log'!$G$7:$G$506,N$5))</f>
        <v/>
      </c>
      <c r="O16" s="41">
        <f>IF($B16="","",SUM(C16:N16))</f>
        <v/>
      </c>
    </row>
    <row r="17">
      <c r="B17" s="41">
        <f>IF('Setup'!B21="","",'Setup'!B21)</f>
        <v/>
      </c>
      <c r="C17" s="41">
        <f>IF($B17="","",SUMIFS('Money Log'!$E$7:$E$506,'Money Log'!$D$7:$D$506,$B17,'Money Log'!$C$7:$C$506,"Income",'Money Log'!$G$7:$G$506,C$5))</f>
        <v/>
      </c>
      <c r="D17" s="41">
        <f>IF($B17="","",SUMIFS('Money Log'!$E$7:$E$506,'Money Log'!$D$7:$D$506,$B17,'Money Log'!$C$7:$C$506,"Income",'Money Log'!$G$7:$G$506,D$5))</f>
        <v/>
      </c>
      <c r="E17" s="41">
        <f>IF($B17="","",SUMIFS('Money Log'!$E$7:$E$506,'Money Log'!$D$7:$D$506,$B17,'Money Log'!$C$7:$C$506,"Income",'Money Log'!$G$7:$G$506,E$5))</f>
        <v/>
      </c>
      <c r="F17" s="41">
        <f>IF($B17="","",SUMIFS('Money Log'!$E$7:$E$506,'Money Log'!$D$7:$D$506,$B17,'Money Log'!$C$7:$C$506,"Income",'Money Log'!$G$7:$G$506,F$5))</f>
        <v/>
      </c>
      <c r="G17" s="41">
        <f>IF($B17="","",SUMIFS('Money Log'!$E$7:$E$506,'Money Log'!$D$7:$D$506,$B17,'Money Log'!$C$7:$C$506,"Income",'Money Log'!$G$7:$G$506,G$5))</f>
        <v/>
      </c>
      <c r="H17" s="41">
        <f>IF($B17="","",SUMIFS('Money Log'!$E$7:$E$506,'Money Log'!$D$7:$D$506,$B17,'Money Log'!$C$7:$C$506,"Income",'Money Log'!$G$7:$G$506,H$5))</f>
        <v/>
      </c>
      <c r="I17" s="41">
        <f>IF($B17="","",SUMIFS('Money Log'!$E$7:$E$506,'Money Log'!$D$7:$D$506,$B17,'Money Log'!$C$7:$C$506,"Income",'Money Log'!$G$7:$G$506,I$5))</f>
        <v/>
      </c>
      <c r="J17" s="41">
        <f>IF($B17="","",SUMIFS('Money Log'!$E$7:$E$506,'Money Log'!$D$7:$D$506,$B17,'Money Log'!$C$7:$C$506,"Income",'Money Log'!$G$7:$G$506,J$5))</f>
        <v/>
      </c>
      <c r="K17" s="41">
        <f>IF($B17="","",SUMIFS('Money Log'!$E$7:$E$506,'Money Log'!$D$7:$D$506,$B17,'Money Log'!$C$7:$C$506,"Income",'Money Log'!$G$7:$G$506,K$5))</f>
        <v/>
      </c>
      <c r="L17" s="41">
        <f>IF($B17="","",SUMIFS('Money Log'!$E$7:$E$506,'Money Log'!$D$7:$D$506,$B17,'Money Log'!$C$7:$C$506,"Income",'Money Log'!$G$7:$G$506,L$5))</f>
        <v/>
      </c>
      <c r="M17" s="41">
        <f>IF($B17="","",SUMIFS('Money Log'!$E$7:$E$506,'Money Log'!$D$7:$D$506,$B17,'Money Log'!$C$7:$C$506,"Income",'Money Log'!$G$7:$G$506,M$5))</f>
        <v/>
      </c>
      <c r="N17" s="41">
        <f>IF($B17="","",SUMIFS('Money Log'!$E$7:$E$506,'Money Log'!$D$7:$D$506,$B17,'Money Log'!$C$7:$C$506,"Income",'Money Log'!$G$7:$G$506,N$5))</f>
        <v/>
      </c>
      <c r="O17" s="41">
        <f>IF($B17="","",SUM(C17:N17))</f>
        <v/>
      </c>
    </row>
    <row r="18">
      <c r="B18" s="42" t="inlineStr">
        <is>
          <t>Total income</t>
        </is>
      </c>
      <c r="C18" s="43">
        <f>SUM(C8:C17)</f>
        <v/>
      </c>
      <c r="D18" s="43">
        <f>SUM(D8:D17)</f>
        <v/>
      </c>
      <c r="E18" s="43">
        <f>SUM(E8:E17)</f>
        <v/>
      </c>
      <c r="F18" s="43">
        <f>SUM(F8:F17)</f>
        <v/>
      </c>
      <c r="G18" s="43">
        <f>SUM(G8:G17)</f>
        <v/>
      </c>
      <c r="H18" s="43">
        <f>SUM(H8:H17)</f>
        <v/>
      </c>
      <c r="I18" s="43">
        <f>SUM(I8:I17)</f>
        <v/>
      </c>
      <c r="J18" s="43">
        <f>SUM(J8:J17)</f>
        <v/>
      </c>
      <c r="K18" s="43">
        <f>SUM(K8:K17)</f>
        <v/>
      </c>
      <c r="L18" s="43">
        <f>SUM(L8:L17)</f>
        <v/>
      </c>
      <c r="M18" s="43">
        <f>SUM(M8:M17)</f>
        <v/>
      </c>
      <c r="N18" s="43">
        <f>SUM(N8:N17)</f>
        <v/>
      </c>
      <c r="O18" s="43">
        <f>SUM(O8:O17)</f>
        <v/>
      </c>
    </row>
    <row r="20">
      <c r="B20" s="44" t="inlineStr">
        <is>
          <t>EXPENSES</t>
        </is>
      </c>
    </row>
    <row r="21">
      <c r="B21" s="41">
        <f>IF('Setup'!E12="","",'Setup'!E12)</f>
        <v/>
      </c>
      <c r="C21" s="41">
        <f>IF($B21="","",SUMIFS('Money Log'!$E$7:$E$506,'Money Log'!$D$7:$D$506,$B21,'Money Log'!$C$7:$C$506,"Expense",'Money Log'!$G$7:$G$506,C$5))</f>
        <v/>
      </c>
      <c r="D21" s="41">
        <f>IF($B21="","",SUMIFS('Money Log'!$E$7:$E$506,'Money Log'!$D$7:$D$506,$B21,'Money Log'!$C$7:$C$506,"Expense",'Money Log'!$G$7:$G$506,D$5))</f>
        <v/>
      </c>
      <c r="E21" s="41">
        <f>IF($B21="","",SUMIFS('Money Log'!$E$7:$E$506,'Money Log'!$D$7:$D$506,$B21,'Money Log'!$C$7:$C$506,"Expense",'Money Log'!$G$7:$G$506,E$5))</f>
        <v/>
      </c>
      <c r="F21" s="41">
        <f>IF($B21="","",SUMIFS('Money Log'!$E$7:$E$506,'Money Log'!$D$7:$D$506,$B21,'Money Log'!$C$7:$C$506,"Expense",'Money Log'!$G$7:$G$506,F$5))</f>
        <v/>
      </c>
      <c r="G21" s="41">
        <f>IF($B21="","",SUMIFS('Money Log'!$E$7:$E$506,'Money Log'!$D$7:$D$506,$B21,'Money Log'!$C$7:$C$506,"Expense",'Money Log'!$G$7:$G$506,G$5))</f>
        <v/>
      </c>
      <c r="H21" s="41">
        <f>IF($B21="","",SUMIFS('Money Log'!$E$7:$E$506,'Money Log'!$D$7:$D$506,$B21,'Money Log'!$C$7:$C$506,"Expense",'Money Log'!$G$7:$G$506,H$5))</f>
        <v/>
      </c>
      <c r="I21" s="41">
        <f>IF($B21="","",SUMIFS('Money Log'!$E$7:$E$506,'Money Log'!$D$7:$D$506,$B21,'Money Log'!$C$7:$C$506,"Expense",'Money Log'!$G$7:$G$506,I$5))</f>
        <v/>
      </c>
      <c r="J21" s="41">
        <f>IF($B21="","",SUMIFS('Money Log'!$E$7:$E$506,'Money Log'!$D$7:$D$506,$B21,'Money Log'!$C$7:$C$506,"Expense",'Money Log'!$G$7:$G$506,J$5))</f>
        <v/>
      </c>
      <c r="K21" s="41">
        <f>IF($B21="","",SUMIFS('Money Log'!$E$7:$E$506,'Money Log'!$D$7:$D$506,$B21,'Money Log'!$C$7:$C$506,"Expense",'Money Log'!$G$7:$G$506,K$5))</f>
        <v/>
      </c>
      <c r="L21" s="41">
        <f>IF($B21="","",SUMIFS('Money Log'!$E$7:$E$506,'Money Log'!$D$7:$D$506,$B21,'Money Log'!$C$7:$C$506,"Expense",'Money Log'!$G$7:$G$506,L$5))</f>
        <v/>
      </c>
      <c r="M21" s="41">
        <f>IF($B21="","",SUMIFS('Money Log'!$E$7:$E$506,'Money Log'!$D$7:$D$506,$B21,'Money Log'!$C$7:$C$506,"Expense",'Money Log'!$G$7:$G$506,M$5))</f>
        <v/>
      </c>
      <c r="N21" s="41">
        <f>IF($B21="","",SUMIFS('Money Log'!$E$7:$E$506,'Money Log'!$D$7:$D$506,$B21,'Money Log'!$C$7:$C$506,"Expense",'Money Log'!$G$7:$G$506,N$5))</f>
        <v/>
      </c>
      <c r="O21" s="41">
        <f>IF($B21="","",SUM(C21:N21))</f>
        <v/>
      </c>
    </row>
    <row r="22">
      <c r="B22" s="41">
        <f>IF('Setup'!E13="","",'Setup'!E13)</f>
        <v/>
      </c>
      <c r="C22" s="41">
        <f>IF($B22="","",SUMIFS('Money Log'!$E$7:$E$506,'Money Log'!$D$7:$D$506,$B22,'Money Log'!$C$7:$C$506,"Expense",'Money Log'!$G$7:$G$506,C$5))</f>
        <v/>
      </c>
      <c r="D22" s="41">
        <f>IF($B22="","",SUMIFS('Money Log'!$E$7:$E$506,'Money Log'!$D$7:$D$506,$B22,'Money Log'!$C$7:$C$506,"Expense",'Money Log'!$G$7:$G$506,D$5))</f>
        <v/>
      </c>
      <c r="E22" s="41">
        <f>IF($B22="","",SUMIFS('Money Log'!$E$7:$E$506,'Money Log'!$D$7:$D$506,$B22,'Money Log'!$C$7:$C$506,"Expense",'Money Log'!$G$7:$G$506,E$5))</f>
        <v/>
      </c>
      <c r="F22" s="41">
        <f>IF($B22="","",SUMIFS('Money Log'!$E$7:$E$506,'Money Log'!$D$7:$D$506,$B22,'Money Log'!$C$7:$C$506,"Expense",'Money Log'!$G$7:$G$506,F$5))</f>
        <v/>
      </c>
      <c r="G22" s="41">
        <f>IF($B22="","",SUMIFS('Money Log'!$E$7:$E$506,'Money Log'!$D$7:$D$506,$B22,'Money Log'!$C$7:$C$506,"Expense",'Money Log'!$G$7:$G$506,G$5))</f>
        <v/>
      </c>
      <c r="H22" s="41">
        <f>IF($B22="","",SUMIFS('Money Log'!$E$7:$E$506,'Money Log'!$D$7:$D$506,$B22,'Money Log'!$C$7:$C$506,"Expense",'Money Log'!$G$7:$G$506,H$5))</f>
        <v/>
      </c>
      <c r="I22" s="41">
        <f>IF($B22="","",SUMIFS('Money Log'!$E$7:$E$506,'Money Log'!$D$7:$D$506,$B22,'Money Log'!$C$7:$C$506,"Expense",'Money Log'!$G$7:$G$506,I$5))</f>
        <v/>
      </c>
      <c r="J22" s="41">
        <f>IF($B22="","",SUMIFS('Money Log'!$E$7:$E$506,'Money Log'!$D$7:$D$506,$B22,'Money Log'!$C$7:$C$506,"Expense",'Money Log'!$G$7:$G$506,J$5))</f>
        <v/>
      </c>
      <c r="K22" s="41">
        <f>IF($B22="","",SUMIFS('Money Log'!$E$7:$E$506,'Money Log'!$D$7:$D$506,$B22,'Money Log'!$C$7:$C$506,"Expense",'Money Log'!$G$7:$G$506,K$5))</f>
        <v/>
      </c>
      <c r="L22" s="41">
        <f>IF($B22="","",SUMIFS('Money Log'!$E$7:$E$506,'Money Log'!$D$7:$D$506,$B22,'Money Log'!$C$7:$C$506,"Expense",'Money Log'!$G$7:$G$506,L$5))</f>
        <v/>
      </c>
      <c r="M22" s="41">
        <f>IF($B22="","",SUMIFS('Money Log'!$E$7:$E$506,'Money Log'!$D$7:$D$506,$B22,'Money Log'!$C$7:$C$506,"Expense",'Money Log'!$G$7:$G$506,M$5))</f>
        <v/>
      </c>
      <c r="N22" s="41">
        <f>IF($B22="","",SUMIFS('Money Log'!$E$7:$E$506,'Money Log'!$D$7:$D$506,$B22,'Money Log'!$C$7:$C$506,"Expense",'Money Log'!$G$7:$G$506,N$5))</f>
        <v/>
      </c>
      <c r="O22" s="41">
        <f>IF($B22="","",SUM(C22:N22))</f>
        <v/>
      </c>
    </row>
    <row r="23">
      <c r="B23" s="41">
        <f>IF('Setup'!E14="","",'Setup'!E14)</f>
        <v/>
      </c>
      <c r="C23" s="41">
        <f>IF($B23="","",SUMIFS('Money Log'!$E$7:$E$506,'Money Log'!$D$7:$D$506,$B23,'Money Log'!$C$7:$C$506,"Expense",'Money Log'!$G$7:$G$506,C$5))</f>
        <v/>
      </c>
      <c r="D23" s="41">
        <f>IF($B23="","",SUMIFS('Money Log'!$E$7:$E$506,'Money Log'!$D$7:$D$506,$B23,'Money Log'!$C$7:$C$506,"Expense",'Money Log'!$G$7:$G$506,D$5))</f>
        <v/>
      </c>
      <c r="E23" s="41">
        <f>IF($B23="","",SUMIFS('Money Log'!$E$7:$E$506,'Money Log'!$D$7:$D$506,$B23,'Money Log'!$C$7:$C$506,"Expense",'Money Log'!$G$7:$G$506,E$5))</f>
        <v/>
      </c>
      <c r="F23" s="41">
        <f>IF($B23="","",SUMIFS('Money Log'!$E$7:$E$506,'Money Log'!$D$7:$D$506,$B23,'Money Log'!$C$7:$C$506,"Expense",'Money Log'!$G$7:$G$506,F$5))</f>
        <v/>
      </c>
      <c r="G23" s="41">
        <f>IF($B23="","",SUMIFS('Money Log'!$E$7:$E$506,'Money Log'!$D$7:$D$506,$B23,'Money Log'!$C$7:$C$506,"Expense",'Money Log'!$G$7:$G$506,G$5))</f>
        <v/>
      </c>
      <c r="H23" s="41">
        <f>IF($B23="","",SUMIFS('Money Log'!$E$7:$E$506,'Money Log'!$D$7:$D$506,$B23,'Money Log'!$C$7:$C$506,"Expense",'Money Log'!$G$7:$G$506,H$5))</f>
        <v/>
      </c>
      <c r="I23" s="41">
        <f>IF($B23="","",SUMIFS('Money Log'!$E$7:$E$506,'Money Log'!$D$7:$D$506,$B23,'Money Log'!$C$7:$C$506,"Expense",'Money Log'!$G$7:$G$506,I$5))</f>
        <v/>
      </c>
      <c r="J23" s="41">
        <f>IF($B23="","",SUMIFS('Money Log'!$E$7:$E$506,'Money Log'!$D$7:$D$506,$B23,'Money Log'!$C$7:$C$506,"Expense",'Money Log'!$G$7:$G$506,J$5))</f>
        <v/>
      </c>
      <c r="K23" s="41">
        <f>IF($B23="","",SUMIFS('Money Log'!$E$7:$E$506,'Money Log'!$D$7:$D$506,$B23,'Money Log'!$C$7:$C$506,"Expense",'Money Log'!$G$7:$G$506,K$5))</f>
        <v/>
      </c>
      <c r="L23" s="41">
        <f>IF($B23="","",SUMIFS('Money Log'!$E$7:$E$506,'Money Log'!$D$7:$D$506,$B23,'Money Log'!$C$7:$C$506,"Expense",'Money Log'!$G$7:$G$506,L$5))</f>
        <v/>
      </c>
      <c r="M23" s="41">
        <f>IF($B23="","",SUMIFS('Money Log'!$E$7:$E$506,'Money Log'!$D$7:$D$506,$B23,'Money Log'!$C$7:$C$506,"Expense",'Money Log'!$G$7:$G$506,M$5))</f>
        <v/>
      </c>
      <c r="N23" s="41">
        <f>IF($B23="","",SUMIFS('Money Log'!$E$7:$E$506,'Money Log'!$D$7:$D$506,$B23,'Money Log'!$C$7:$C$506,"Expense",'Money Log'!$G$7:$G$506,N$5))</f>
        <v/>
      </c>
      <c r="O23" s="41">
        <f>IF($B23="","",SUM(C23:N23))</f>
        <v/>
      </c>
    </row>
    <row r="24">
      <c r="B24" s="41">
        <f>IF('Setup'!E15="","",'Setup'!E15)</f>
        <v/>
      </c>
      <c r="C24" s="41">
        <f>IF($B24="","",SUMIFS('Money Log'!$E$7:$E$506,'Money Log'!$D$7:$D$506,$B24,'Money Log'!$C$7:$C$506,"Expense",'Money Log'!$G$7:$G$506,C$5))</f>
        <v/>
      </c>
      <c r="D24" s="41">
        <f>IF($B24="","",SUMIFS('Money Log'!$E$7:$E$506,'Money Log'!$D$7:$D$506,$B24,'Money Log'!$C$7:$C$506,"Expense",'Money Log'!$G$7:$G$506,D$5))</f>
        <v/>
      </c>
      <c r="E24" s="41">
        <f>IF($B24="","",SUMIFS('Money Log'!$E$7:$E$506,'Money Log'!$D$7:$D$506,$B24,'Money Log'!$C$7:$C$506,"Expense",'Money Log'!$G$7:$G$506,E$5))</f>
        <v/>
      </c>
      <c r="F24" s="41">
        <f>IF($B24="","",SUMIFS('Money Log'!$E$7:$E$506,'Money Log'!$D$7:$D$506,$B24,'Money Log'!$C$7:$C$506,"Expense",'Money Log'!$G$7:$G$506,F$5))</f>
        <v/>
      </c>
      <c r="G24" s="41">
        <f>IF($B24="","",SUMIFS('Money Log'!$E$7:$E$506,'Money Log'!$D$7:$D$506,$B24,'Money Log'!$C$7:$C$506,"Expense",'Money Log'!$G$7:$G$506,G$5))</f>
        <v/>
      </c>
      <c r="H24" s="41">
        <f>IF($B24="","",SUMIFS('Money Log'!$E$7:$E$506,'Money Log'!$D$7:$D$506,$B24,'Money Log'!$C$7:$C$506,"Expense",'Money Log'!$G$7:$G$506,H$5))</f>
        <v/>
      </c>
      <c r="I24" s="41">
        <f>IF($B24="","",SUMIFS('Money Log'!$E$7:$E$506,'Money Log'!$D$7:$D$506,$B24,'Money Log'!$C$7:$C$506,"Expense",'Money Log'!$G$7:$G$506,I$5))</f>
        <v/>
      </c>
      <c r="J24" s="41">
        <f>IF($B24="","",SUMIFS('Money Log'!$E$7:$E$506,'Money Log'!$D$7:$D$506,$B24,'Money Log'!$C$7:$C$506,"Expense",'Money Log'!$G$7:$G$506,J$5))</f>
        <v/>
      </c>
      <c r="K24" s="41">
        <f>IF($B24="","",SUMIFS('Money Log'!$E$7:$E$506,'Money Log'!$D$7:$D$506,$B24,'Money Log'!$C$7:$C$506,"Expense",'Money Log'!$G$7:$G$506,K$5))</f>
        <v/>
      </c>
      <c r="L24" s="41">
        <f>IF($B24="","",SUMIFS('Money Log'!$E$7:$E$506,'Money Log'!$D$7:$D$506,$B24,'Money Log'!$C$7:$C$506,"Expense",'Money Log'!$G$7:$G$506,L$5))</f>
        <v/>
      </c>
      <c r="M24" s="41">
        <f>IF($B24="","",SUMIFS('Money Log'!$E$7:$E$506,'Money Log'!$D$7:$D$506,$B24,'Money Log'!$C$7:$C$506,"Expense",'Money Log'!$G$7:$G$506,M$5))</f>
        <v/>
      </c>
      <c r="N24" s="41">
        <f>IF($B24="","",SUMIFS('Money Log'!$E$7:$E$506,'Money Log'!$D$7:$D$506,$B24,'Money Log'!$C$7:$C$506,"Expense",'Money Log'!$G$7:$G$506,N$5))</f>
        <v/>
      </c>
      <c r="O24" s="41">
        <f>IF($B24="","",SUM(C24:N24))</f>
        <v/>
      </c>
    </row>
    <row r="25">
      <c r="B25" s="41">
        <f>IF('Setup'!E16="","",'Setup'!E16)</f>
        <v/>
      </c>
      <c r="C25" s="41">
        <f>IF($B25="","",SUMIFS('Money Log'!$E$7:$E$506,'Money Log'!$D$7:$D$506,$B25,'Money Log'!$C$7:$C$506,"Expense",'Money Log'!$G$7:$G$506,C$5))</f>
        <v/>
      </c>
      <c r="D25" s="41">
        <f>IF($B25="","",SUMIFS('Money Log'!$E$7:$E$506,'Money Log'!$D$7:$D$506,$B25,'Money Log'!$C$7:$C$506,"Expense",'Money Log'!$G$7:$G$506,D$5))</f>
        <v/>
      </c>
      <c r="E25" s="41">
        <f>IF($B25="","",SUMIFS('Money Log'!$E$7:$E$506,'Money Log'!$D$7:$D$506,$B25,'Money Log'!$C$7:$C$506,"Expense",'Money Log'!$G$7:$G$506,E$5))</f>
        <v/>
      </c>
      <c r="F25" s="41">
        <f>IF($B25="","",SUMIFS('Money Log'!$E$7:$E$506,'Money Log'!$D$7:$D$506,$B25,'Money Log'!$C$7:$C$506,"Expense",'Money Log'!$G$7:$G$506,F$5))</f>
        <v/>
      </c>
      <c r="G25" s="41">
        <f>IF($B25="","",SUMIFS('Money Log'!$E$7:$E$506,'Money Log'!$D$7:$D$506,$B25,'Money Log'!$C$7:$C$506,"Expense",'Money Log'!$G$7:$G$506,G$5))</f>
        <v/>
      </c>
      <c r="H25" s="41">
        <f>IF($B25="","",SUMIFS('Money Log'!$E$7:$E$506,'Money Log'!$D$7:$D$506,$B25,'Money Log'!$C$7:$C$506,"Expense",'Money Log'!$G$7:$G$506,H$5))</f>
        <v/>
      </c>
      <c r="I25" s="41">
        <f>IF($B25="","",SUMIFS('Money Log'!$E$7:$E$506,'Money Log'!$D$7:$D$506,$B25,'Money Log'!$C$7:$C$506,"Expense",'Money Log'!$G$7:$G$506,I$5))</f>
        <v/>
      </c>
      <c r="J25" s="41">
        <f>IF($B25="","",SUMIFS('Money Log'!$E$7:$E$506,'Money Log'!$D$7:$D$506,$B25,'Money Log'!$C$7:$C$506,"Expense",'Money Log'!$G$7:$G$506,J$5))</f>
        <v/>
      </c>
      <c r="K25" s="41">
        <f>IF($B25="","",SUMIFS('Money Log'!$E$7:$E$506,'Money Log'!$D$7:$D$506,$B25,'Money Log'!$C$7:$C$506,"Expense",'Money Log'!$G$7:$G$506,K$5))</f>
        <v/>
      </c>
      <c r="L25" s="41">
        <f>IF($B25="","",SUMIFS('Money Log'!$E$7:$E$506,'Money Log'!$D$7:$D$506,$B25,'Money Log'!$C$7:$C$506,"Expense",'Money Log'!$G$7:$G$506,L$5))</f>
        <v/>
      </c>
      <c r="M25" s="41">
        <f>IF($B25="","",SUMIFS('Money Log'!$E$7:$E$506,'Money Log'!$D$7:$D$506,$B25,'Money Log'!$C$7:$C$506,"Expense",'Money Log'!$G$7:$G$506,M$5))</f>
        <v/>
      </c>
      <c r="N25" s="41">
        <f>IF($B25="","",SUMIFS('Money Log'!$E$7:$E$506,'Money Log'!$D$7:$D$506,$B25,'Money Log'!$C$7:$C$506,"Expense",'Money Log'!$G$7:$G$506,N$5))</f>
        <v/>
      </c>
      <c r="O25" s="41">
        <f>IF($B25="","",SUM(C25:N25))</f>
        <v/>
      </c>
    </row>
    <row r="26">
      <c r="B26" s="41">
        <f>IF('Setup'!E17="","",'Setup'!E17)</f>
        <v/>
      </c>
      <c r="C26" s="41">
        <f>IF($B26="","",SUMIFS('Money Log'!$E$7:$E$506,'Money Log'!$D$7:$D$506,$B26,'Money Log'!$C$7:$C$506,"Expense",'Money Log'!$G$7:$G$506,C$5))</f>
        <v/>
      </c>
      <c r="D26" s="41">
        <f>IF($B26="","",SUMIFS('Money Log'!$E$7:$E$506,'Money Log'!$D$7:$D$506,$B26,'Money Log'!$C$7:$C$506,"Expense",'Money Log'!$G$7:$G$506,D$5))</f>
        <v/>
      </c>
      <c r="E26" s="41">
        <f>IF($B26="","",SUMIFS('Money Log'!$E$7:$E$506,'Money Log'!$D$7:$D$506,$B26,'Money Log'!$C$7:$C$506,"Expense",'Money Log'!$G$7:$G$506,E$5))</f>
        <v/>
      </c>
      <c r="F26" s="41">
        <f>IF($B26="","",SUMIFS('Money Log'!$E$7:$E$506,'Money Log'!$D$7:$D$506,$B26,'Money Log'!$C$7:$C$506,"Expense",'Money Log'!$G$7:$G$506,F$5))</f>
        <v/>
      </c>
      <c r="G26" s="41">
        <f>IF($B26="","",SUMIFS('Money Log'!$E$7:$E$506,'Money Log'!$D$7:$D$506,$B26,'Money Log'!$C$7:$C$506,"Expense",'Money Log'!$G$7:$G$506,G$5))</f>
        <v/>
      </c>
      <c r="H26" s="41">
        <f>IF($B26="","",SUMIFS('Money Log'!$E$7:$E$506,'Money Log'!$D$7:$D$506,$B26,'Money Log'!$C$7:$C$506,"Expense",'Money Log'!$G$7:$G$506,H$5))</f>
        <v/>
      </c>
      <c r="I26" s="41">
        <f>IF($B26="","",SUMIFS('Money Log'!$E$7:$E$506,'Money Log'!$D$7:$D$506,$B26,'Money Log'!$C$7:$C$506,"Expense",'Money Log'!$G$7:$G$506,I$5))</f>
        <v/>
      </c>
      <c r="J26" s="41">
        <f>IF($B26="","",SUMIFS('Money Log'!$E$7:$E$506,'Money Log'!$D$7:$D$506,$B26,'Money Log'!$C$7:$C$506,"Expense",'Money Log'!$G$7:$G$506,J$5))</f>
        <v/>
      </c>
      <c r="K26" s="41">
        <f>IF($B26="","",SUMIFS('Money Log'!$E$7:$E$506,'Money Log'!$D$7:$D$506,$B26,'Money Log'!$C$7:$C$506,"Expense",'Money Log'!$G$7:$G$506,K$5))</f>
        <v/>
      </c>
      <c r="L26" s="41">
        <f>IF($B26="","",SUMIFS('Money Log'!$E$7:$E$506,'Money Log'!$D$7:$D$506,$B26,'Money Log'!$C$7:$C$506,"Expense",'Money Log'!$G$7:$G$506,L$5))</f>
        <v/>
      </c>
      <c r="M26" s="41">
        <f>IF($B26="","",SUMIFS('Money Log'!$E$7:$E$506,'Money Log'!$D$7:$D$506,$B26,'Money Log'!$C$7:$C$506,"Expense",'Money Log'!$G$7:$G$506,M$5))</f>
        <v/>
      </c>
      <c r="N26" s="41">
        <f>IF($B26="","",SUMIFS('Money Log'!$E$7:$E$506,'Money Log'!$D$7:$D$506,$B26,'Money Log'!$C$7:$C$506,"Expense",'Money Log'!$G$7:$G$506,N$5))</f>
        <v/>
      </c>
      <c r="O26" s="41">
        <f>IF($B26="","",SUM(C26:N26))</f>
        <v/>
      </c>
    </row>
    <row r="27">
      <c r="B27" s="41">
        <f>IF('Setup'!E18="","",'Setup'!E18)</f>
        <v/>
      </c>
      <c r="C27" s="41">
        <f>IF($B27="","",SUMIFS('Money Log'!$E$7:$E$506,'Money Log'!$D$7:$D$506,$B27,'Money Log'!$C$7:$C$506,"Expense",'Money Log'!$G$7:$G$506,C$5))</f>
        <v/>
      </c>
      <c r="D27" s="41">
        <f>IF($B27="","",SUMIFS('Money Log'!$E$7:$E$506,'Money Log'!$D$7:$D$506,$B27,'Money Log'!$C$7:$C$506,"Expense",'Money Log'!$G$7:$G$506,D$5))</f>
        <v/>
      </c>
      <c r="E27" s="41">
        <f>IF($B27="","",SUMIFS('Money Log'!$E$7:$E$506,'Money Log'!$D$7:$D$506,$B27,'Money Log'!$C$7:$C$506,"Expense",'Money Log'!$G$7:$G$506,E$5))</f>
        <v/>
      </c>
      <c r="F27" s="41">
        <f>IF($B27="","",SUMIFS('Money Log'!$E$7:$E$506,'Money Log'!$D$7:$D$506,$B27,'Money Log'!$C$7:$C$506,"Expense",'Money Log'!$G$7:$G$506,F$5))</f>
        <v/>
      </c>
      <c r="G27" s="41">
        <f>IF($B27="","",SUMIFS('Money Log'!$E$7:$E$506,'Money Log'!$D$7:$D$506,$B27,'Money Log'!$C$7:$C$506,"Expense",'Money Log'!$G$7:$G$506,G$5))</f>
        <v/>
      </c>
      <c r="H27" s="41">
        <f>IF($B27="","",SUMIFS('Money Log'!$E$7:$E$506,'Money Log'!$D$7:$D$506,$B27,'Money Log'!$C$7:$C$506,"Expense",'Money Log'!$G$7:$G$506,H$5))</f>
        <v/>
      </c>
      <c r="I27" s="41">
        <f>IF($B27="","",SUMIFS('Money Log'!$E$7:$E$506,'Money Log'!$D$7:$D$506,$B27,'Money Log'!$C$7:$C$506,"Expense",'Money Log'!$G$7:$G$506,I$5))</f>
        <v/>
      </c>
      <c r="J27" s="41">
        <f>IF($B27="","",SUMIFS('Money Log'!$E$7:$E$506,'Money Log'!$D$7:$D$506,$B27,'Money Log'!$C$7:$C$506,"Expense",'Money Log'!$G$7:$G$506,J$5))</f>
        <v/>
      </c>
      <c r="K27" s="41">
        <f>IF($B27="","",SUMIFS('Money Log'!$E$7:$E$506,'Money Log'!$D$7:$D$506,$B27,'Money Log'!$C$7:$C$506,"Expense",'Money Log'!$G$7:$G$506,K$5))</f>
        <v/>
      </c>
      <c r="L27" s="41">
        <f>IF($B27="","",SUMIFS('Money Log'!$E$7:$E$506,'Money Log'!$D$7:$D$506,$B27,'Money Log'!$C$7:$C$506,"Expense",'Money Log'!$G$7:$G$506,L$5))</f>
        <v/>
      </c>
      <c r="M27" s="41">
        <f>IF($B27="","",SUMIFS('Money Log'!$E$7:$E$506,'Money Log'!$D$7:$D$506,$B27,'Money Log'!$C$7:$C$506,"Expense",'Money Log'!$G$7:$G$506,M$5))</f>
        <v/>
      </c>
      <c r="N27" s="41">
        <f>IF($B27="","",SUMIFS('Money Log'!$E$7:$E$506,'Money Log'!$D$7:$D$506,$B27,'Money Log'!$C$7:$C$506,"Expense",'Money Log'!$G$7:$G$506,N$5))</f>
        <v/>
      </c>
      <c r="O27" s="41">
        <f>IF($B27="","",SUM(C27:N27))</f>
        <v/>
      </c>
    </row>
    <row r="28">
      <c r="B28" s="41">
        <f>IF('Setup'!E19="","",'Setup'!E19)</f>
        <v/>
      </c>
      <c r="C28" s="41">
        <f>IF($B28="","",SUMIFS('Money Log'!$E$7:$E$506,'Money Log'!$D$7:$D$506,$B28,'Money Log'!$C$7:$C$506,"Expense",'Money Log'!$G$7:$G$506,C$5))</f>
        <v/>
      </c>
      <c r="D28" s="41">
        <f>IF($B28="","",SUMIFS('Money Log'!$E$7:$E$506,'Money Log'!$D$7:$D$506,$B28,'Money Log'!$C$7:$C$506,"Expense",'Money Log'!$G$7:$G$506,D$5))</f>
        <v/>
      </c>
      <c r="E28" s="41">
        <f>IF($B28="","",SUMIFS('Money Log'!$E$7:$E$506,'Money Log'!$D$7:$D$506,$B28,'Money Log'!$C$7:$C$506,"Expense",'Money Log'!$G$7:$G$506,E$5))</f>
        <v/>
      </c>
      <c r="F28" s="41">
        <f>IF($B28="","",SUMIFS('Money Log'!$E$7:$E$506,'Money Log'!$D$7:$D$506,$B28,'Money Log'!$C$7:$C$506,"Expense",'Money Log'!$G$7:$G$506,F$5))</f>
        <v/>
      </c>
      <c r="G28" s="41">
        <f>IF($B28="","",SUMIFS('Money Log'!$E$7:$E$506,'Money Log'!$D$7:$D$506,$B28,'Money Log'!$C$7:$C$506,"Expense",'Money Log'!$G$7:$G$506,G$5))</f>
        <v/>
      </c>
      <c r="H28" s="41">
        <f>IF($B28="","",SUMIFS('Money Log'!$E$7:$E$506,'Money Log'!$D$7:$D$506,$B28,'Money Log'!$C$7:$C$506,"Expense",'Money Log'!$G$7:$G$506,H$5))</f>
        <v/>
      </c>
      <c r="I28" s="41">
        <f>IF($B28="","",SUMIFS('Money Log'!$E$7:$E$506,'Money Log'!$D$7:$D$506,$B28,'Money Log'!$C$7:$C$506,"Expense",'Money Log'!$G$7:$G$506,I$5))</f>
        <v/>
      </c>
      <c r="J28" s="41">
        <f>IF($B28="","",SUMIFS('Money Log'!$E$7:$E$506,'Money Log'!$D$7:$D$506,$B28,'Money Log'!$C$7:$C$506,"Expense",'Money Log'!$G$7:$G$506,J$5))</f>
        <v/>
      </c>
      <c r="K28" s="41">
        <f>IF($B28="","",SUMIFS('Money Log'!$E$7:$E$506,'Money Log'!$D$7:$D$506,$B28,'Money Log'!$C$7:$C$506,"Expense",'Money Log'!$G$7:$G$506,K$5))</f>
        <v/>
      </c>
      <c r="L28" s="41">
        <f>IF($B28="","",SUMIFS('Money Log'!$E$7:$E$506,'Money Log'!$D$7:$D$506,$B28,'Money Log'!$C$7:$C$506,"Expense",'Money Log'!$G$7:$G$506,L$5))</f>
        <v/>
      </c>
      <c r="M28" s="41">
        <f>IF($B28="","",SUMIFS('Money Log'!$E$7:$E$506,'Money Log'!$D$7:$D$506,$B28,'Money Log'!$C$7:$C$506,"Expense",'Money Log'!$G$7:$G$506,M$5))</f>
        <v/>
      </c>
      <c r="N28" s="41">
        <f>IF($B28="","",SUMIFS('Money Log'!$E$7:$E$506,'Money Log'!$D$7:$D$506,$B28,'Money Log'!$C$7:$C$506,"Expense",'Money Log'!$G$7:$G$506,N$5))</f>
        <v/>
      </c>
      <c r="O28" s="41">
        <f>IF($B28="","",SUM(C28:N28))</f>
        <v/>
      </c>
    </row>
    <row r="29">
      <c r="B29" s="41">
        <f>IF('Setup'!E20="","",'Setup'!E20)</f>
        <v/>
      </c>
      <c r="C29" s="41">
        <f>IF($B29="","",SUMIFS('Money Log'!$E$7:$E$506,'Money Log'!$D$7:$D$506,$B29,'Money Log'!$C$7:$C$506,"Expense",'Money Log'!$G$7:$G$506,C$5))</f>
        <v/>
      </c>
      <c r="D29" s="41">
        <f>IF($B29="","",SUMIFS('Money Log'!$E$7:$E$506,'Money Log'!$D$7:$D$506,$B29,'Money Log'!$C$7:$C$506,"Expense",'Money Log'!$G$7:$G$506,D$5))</f>
        <v/>
      </c>
      <c r="E29" s="41">
        <f>IF($B29="","",SUMIFS('Money Log'!$E$7:$E$506,'Money Log'!$D$7:$D$506,$B29,'Money Log'!$C$7:$C$506,"Expense",'Money Log'!$G$7:$G$506,E$5))</f>
        <v/>
      </c>
      <c r="F29" s="41">
        <f>IF($B29="","",SUMIFS('Money Log'!$E$7:$E$506,'Money Log'!$D$7:$D$506,$B29,'Money Log'!$C$7:$C$506,"Expense",'Money Log'!$G$7:$G$506,F$5))</f>
        <v/>
      </c>
      <c r="G29" s="41">
        <f>IF($B29="","",SUMIFS('Money Log'!$E$7:$E$506,'Money Log'!$D$7:$D$506,$B29,'Money Log'!$C$7:$C$506,"Expense",'Money Log'!$G$7:$G$506,G$5))</f>
        <v/>
      </c>
      <c r="H29" s="41">
        <f>IF($B29="","",SUMIFS('Money Log'!$E$7:$E$506,'Money Log'!$D$7:$D$506,$B29,'Money Log'!$C$7:$C$506,"Expense",'Money Log'!$G$7:$G$506,H$5))</f>
        <v/>
      </c>
      <c r="I29" s="41">
        <f>IF($B29="","",SUMIFS('Money Log'!$E$7:$E$506,'Money Log'!$D$7:$D$506,$B29,'Money Log'!$C$7:$C$506,"Expense",'Money Log'!$G$7:$G$506,I$5))</f>
        <v/>
      </c>
      <c r="J29" s="41">
        <f>IF($B29="","",SUMIFS('Money Log'!$E$7:$E$506,'Money Log'!$D$7:$D$506,$B29,'Money Log'!$C$7:$C$506,"Expense",'Money Log'!$G$7:$G$506,J$5))</f>
        <v/>
      </c>
      <c r="K29" s="41">
        <f>IF($B29="","",SUMIFS('Money Log'!$E$7:$E$506,'Money Log'!$D$7:$D$506,$B29,'Money Log'!$C$7:$C$506,"Expense",'Money Log'!$G$7:$G$506,K$5))</f>
        <v/>
      </c>
      <c r="L29" s="41">
        <f>IF($B29="","",SUMIFS('Money Log'!$E$7:$E$506,'Money Log'!$D$7:$D$506,$B29,'Money Log'!$C$7:$C$506,"Expense",'Money Log'!$G$7:$G$506,L$5))</f>
        <v/>
      </c>
      <c r="M29" s="41">
        <f>IF($B29="","",SUMIFS('Money Log'!$E$7:$E$506,'Money Log'!$D$7:$D$506,$B29,'Money Log'!$C$7:$C$506,"Expense",'Money Log'!$G$7:$G$506,M$5))</f>
        <v/>
      </c>
      <c r="N29" s="41">
        <f>IF($B29="","",SUMIFS('Money Log'!$E$7:$E$506,'Money Log'!$D$7:$D$506,$B29,'Money Log'!$C$7:$C$506,"Expense",'Money Log'!$G$7:$G$506,N$5))</f>
        <v/>
      </c>
      <c r="O29" s="41">
        <f>IF($B29="","",SUM(C29:N29))</f>
        <v/>
      </c>
    </row>
    <row r="30">
      <c r="B30" s="41">
        <f>IF('Setup'!E21="","",'Setup'!E21)</f>
        <v/>
      </c>
      <c r="C30" s="41">
        <f>IF($B30="","",SUMIFS('Money Log'!$E$7:$E$506,'Money Log'!$D$7:$D$506,$B30,'Money Log'!$C$7:$C$506,"Expense",'Money Log'!$G$7:$G$506,C$5))</f>
        <v/>
      </c>
      <c r="D30" s="41">
        <f>IF($B30="","",SUMIFS('Money Log'!$E$7:$E$506,'Money Log'!$D$7:$D$506,$B30,'Money Log'!$C$7:$C$506,"Expense",'Money Log'!$G$7:$G$506,D$5))</f>
        <v/>
      </c>
      <c r="E30" s="41">
        <f>IF($B30="","",SUMIFS('Money Log'!$E$7:$E$506,'Money Log'!$D$7:$D$506,$B30,'Money Log'!$C$7:$C$506,"Expense",'Money Log'!$G$7:$G$506,E$5))</f>
        <v/>
      </c>
      <c r="F30" s="41">
        <f>IF($B30="","",SUMIFS('Money Log'!$E$7:$E$506,'Money Log'!$D$7:$D$506,$B30,'Money Log'!$C$7:$C$506,"Expense",'Money Log'!$G$7:$G$506,F$5))</f>
        <v/>
      </c>
      <c r="G30" s="41">
        <f>IF($B30="","",SUMIFS('Money Log'!$E$7:$E$506,'Money Log'!$D$7:$D$506,$B30,'Money Log'!$C$7:$C$506,"Expense",'Money Log'!$G$7:$G$506,G$5))</f>
        <v/>
      </c>
      <c r="H30" s="41">
        <f>IF($B30="","",SUMIFS('Money Log'!$E$7:$E$506,'Money Log'!$D$7:$D$506,$B30,'Money Log'!$C$7:$C$506,"Expense",'Money Log'!$G$7:$G$506,H$5))</f>
        <v/>
      </c>
      <c r="I30" s="41">
        <f>IF($B30="","",SUMIFS('Money Log'!$E$7:$E$506,'Money Log'!$D$7:$D$506,$B30,'Money Log'!$C$7:$C$506,"Expense",'Money Log'!$G$7:$G$506,I$5))</f>
        <v/>
      </c>
      <c r="J30" s="41">
        <f>IF($B30="","",SUMIFS('Money Log'!$E$7:$E$506,'Money Log'!$D$7:$D$506,$B30,'Money Log'!$C$7:$C$506,"Expense",'Money Log'!$G$7:$G$506,J$5))</f>
        <v/>
      </c>
      <c r="K30" s="41">
        <f>IF($B30="","",SUMIFS('Money Log'!$E$7:$E$506,'Money Log'!$D$7:$D$506,$B30,'Money Log'!$C$7:$C$506,"Expense",'Money Log'!$G$7:$G$506,K$5))</f>
        <v/>
      </c>
      <c r="L30" s="41">
        <f>IF($B30="","",SUMIFS('Money Log'!$E$7:$E$506,'Money Log'!$D$7:$D$506,$B30,'Money Log'!$C$7:$C$506,"Expense",'Money Log'!$G$7:$G$506,L$5))</f>
        <v/>
      </c>
      <c r="M30" s="41">
        <f>IF($B30="","",SUMIFS('Money Log'!$E$7:$E$506,'Money Log'!$D$7:$D$506,$B30,'Money Log'!$C$7:$C$506,"Expense",'Money Log'!$G$7:$G$506,M$5))</f>
        <v/>
      </c>
      <c r="N30" s="41">
        <f>IF($B30="","",SUMIFS('Money Log'!$E$7:$E$506,'Money Log'!$D$7:$D$506,$B30,'Money Log'!$C$7:$C$506,"Expense",'Money Log'!$G$7:$G$506,N$5))</f>
        <v/>
      </c>
      <c r="O30" s="41">
        <f>IF($B30="","",SUM(C30:N30))</f>
        <v/>
      </c>
    </row>
    <row r="31">
      <c r="B31" s="41">
        <f>IF('Setup'!E22="","",'Setup'!E22)</f>
        <v/>
      </c>
      <c r="C31" s="41">
        <f>IF($B31="","",SUMIFS('Money Log'!$E$7:$E$506,'Money Log'!$D$7:$D$506,$B31,'Money Log'!$C$7:$C$506,"Expense",'Money Log'!$G$7:$G$506,C$5))</f>
        <v/>
      </c>
      <c r="D31" s="41">
        <f>IF($B31="","",SUMIFS('Money Log'!$E$7:$E$506,'Money Log'!$D$7:$D$506,$B31,'Money Log'!$C$7:$C$506,"Expense",'Money Log'!$G$7:$G$506,D$5))</f>
        <v/>
      </c>
      <c r="E31" s="41">
        <f>IF($B31="","",SUMIFS('Money Log'!$E$7:$E$506,'Money Log'!$D$7:$D$506,$B31,'Money Log'!$C$7:$C$506,"Expense",'Money Log'!$G$7:$G$506,E$5))</f>
        <v/>
      </c>
      <c r="F31" s="41">
        <f>IF($B31="","",SUMIFS('Money Log'!$E$7:$E$506,'Money Log'!$D$7:$D$506,$B31,'Money Log'!$C$7:$C$506,"Expense",'Money Log'!$G$7:$G$506,F$5))</f>
        <v/>
      </c>
      <c r="G31" s="41">
        <f>IF($B31="","",SUMIFS('Money Log'!$E$7:$E$506,'Money Log'!$D$7:$D$506,$B31,'Money Log'!$C$7:$C$506,"Expense",'Money Log'!$G$7:$G$506,G$5))</f>
        <v/>
      </c>
      <c r="H31" s="41">
        <f>IF($B31="","",SUMIFS('Money Log'!$E$7:$E$506,'Money Log'!$D$7:$D$506,$B31,'Money Log'!$C$7:$C$506,"Expense",'Money Log'!$G$7:$G$506,H$5))</f>
        <v/>
      </c>
      <c r="I31" s="41">
        <f>IF($B31="","",SUMIFS('Money Log'!$E$7:$E$506,'Money Log'!$D$7:$D$506,$B31,'Money Log'!$C$7:$C$506,"Expense",'Money Log'!$G$7:$G$506,I$5))</f>
        <v/>
      </c>
      <c r="J31" s="41">
        <f>IF($B31="","",SUMIFS('Money Log'!$E$7:$E$506,'Money Log'!$D$7:$D$506,$B31,'Money Log'!$C$7:$C$506,"Expense",'Money Log'!$G$7:$G$506,J$5))</f>
        <v/>
      </c>
      <c r="K31" s="41">
        <f>IF($B31="","",SUMIFS('Money Log'!$E$7:$E$506,'Money Log'!$D$7:$D$506,$B31,'Money Log'!$C$7:$C$506,"Expense",'Money Log'!$G$7:$G$506,K$5))</f>
        <v/>
      </c>
      <c r="L31" s="41">
        <f>IF($B31="","",SUMIFS('Money Log'!$E$7:$E$506,'Money Log'!$D$7:$D$506,$B31,'Money Log'!$C$7:$C$506,"Expense",'Money Log'!$G$7:$G$506,L$5))</f>
        <v/>
      </c>
      <c r="M31" s="41">
        <f>IF($B31="","",SUMIFS('Money Log'!$E$7:$E$506,'Money Log'!$D$7:$D$506,$B31,'Money Log'!$C$7:$C$506,"Expense",'Money Log'!$G$7:$G$506,M$5))</f>
        <v/>
      </c>
      <c r="N31" s="41">
        <f>IF($B31="","",SUMIFS('Money Log'!$E$7:$E$506,'Money Log'!$D$7:$D$506,$B31,'Money Log'!$C$7:$C$506,"Expense",'Money Log'!$G$7:$G$506,N$5))</f>
        <v/>
      </c>
      <c r="O31" s="41">
        <f>IF($B31="","",SUM(C31:N31))</f>
        <v/>
      </c>
    </row>
    <row r="32">
      <c r="B32" s="41">
        <f>IF('Setup'!E23="","",'Setup'!E23)</f>
        <v/>
      </c>
      <c r="C32" s="41">
        <f>IF($B32="","",SUMIFS('Money Log'!$E$7:$E$506,'Money Log'!$D$7:$D$506,$B32,'Money Log'!$C$7:$C$506,"Expense",'Money Log'!$G$7:$G$506,C$5))</f>
        <v/>
      </c>
      <c r="D32" s="41">
        <f>IF($B32="","",SUMIFS('Money Log'!$E$7:$E$506,'Money Log'!$D$7:$D$506,$B32,'Money Log'!$C$7:$C$506,"Expense",'Money Log'!$G$7:$G$506,D$5))</f>
        <v/>
      </c>
      <c r="E32" s="41">
        <f>IF($B32="","",SUMIFS('Money Log'!$E$7:$E$506,'Money Log'!$D$7:$D$506,$B32,'Money Log'!$C$7:$C$506,"Expense",'Money Log'!$G$7:$G$506,E$5))</f>
        <v/>
      </c>
      <c r="F32" s="41">
        <f>IF($B32="","",SUMIFS('Money Log'!$E$7:$E$506,'Money Log'!$D$7:$D$506,$B32,'Money Log'!$C$7:$C$506,"Expense",'Money Log'!$G$7:$G$506,F$5))</f>
        <v/>
      </c>
      <c r="G32" s="41">
        <f>IF($B32="","",SUMIFS('Money Log'!$E$7:$E$506,'Money Log'!$D$7:$D$506,$B32,'Money Log'!$C$7:$C$506,"Expense",'Money Log'!$G$7:$G$506,G$5))</f>
        <v/>
      </c>
      <c r="H32" s="41">
        <f>IF($B32="","",SUMIFS('Money Log'!$E$7:$E$506,'Money Log'!$D$7:$D$506,$B32,'Money Log'!$C$7:$C$506,"Expense",'Money Log'!$G$7:$G$506,H$5))</f>
        <v/>
      </c>
      <c r="I32" s="41">
        <f>IF($B32="","",SUMIFS('Money Log'!$E$7:$E$506,'Money Log'!$D$7:$D$506,$B32,'Money Log'!$C$7:$C$506,"Expense",'Money Log'!$G$7:$G$506,I$5))</f>
        <v/>
      </c>
      <c r="J32" s="41">
        <f>IF($B32="","",SUMIFS('Money Log'!$E$7:$E$506,'Money Log'!$D$7:$D$506,$B32,'Money Log'!$C$7:$C$506,"Expense",'Money Log'!$G$7:$G$506,J$5))</f>
        <v/>
      </c>
      <c r="K32" s="41">
        <f>IF($B32="","",SUMIFS('Money Log'!$E$7:$E$506,'Money Log'!$D$7:$D$506,$B32,'Money Log'!$C$7:$C$506,"Expense",'Money Log'!$G$7:$G$506,K$5))</f>
        <v/>
      </c>
      <c r="L32" s="41">
        <f>IF($B32="","",SUMIFS('Money Log'!$E$7:$E$506,'Money Log'!$D$7:$D$506,$B32,'Money Log'!$C$7:$C$506,"Expense",'Money Log'!$G$7:$G$506,L$5))</f>
        <v/>
      </c>
      <c r="M32" s="41">
        <f>IF($B32="","",SUMIFS('Money Log'!$E$7:$E$506,'Money Log'!$D$7:$D$506,$B32,'Money Log'!$C$7:$C$506,"Expense",'Money Log'!$G$7:$G$506,M$5))</f>
        <v/>
      </c>
      <c r="N32" s="41">
        <f>IF($B32="","",SUMIFS('Money Log'!$E$7:$E$506,'Money Log'!$D$7:$D$506,$B32,'Money Log'!$C$7:$C$506,"Expense",'Money Log'!$G$7:$G$506,N$5))</f>
        <v/>
      </c>
      <c r="O32" s="41">
        <f>IF($B32="","",SUM(C32:N32))</f>
        <v/>
      </c>
    </row>
    <row r="33">
      <c r="B33" s="41">
        <f>IF('Setup'!E24="","",'Setup'!E24)</f>
        <v/>
      </c>
      <c r="C33" s="41">
        <f>IF($B33="","",SUMIFS('Money Log'!$E$7:$E$506,'Money Log'!$D$7:$D$506,$B33,'Money Log'!$C$7:$C$506,"Expense",'Money Log'!$G$7:$G$506,C$5))</f>
        <v/>
      </c>
      <c r="D33" s="41">
        <f>IF($B33="","",SUMIFS('Money Log'!$E$7:$E$506,'Money Log'!$D$7:$D$506,$B33,'Money Log'!$C$7:$C$506,"Expense",'Money Log'!$G$7:$G$506,D$5))</f>
        <v/>
      </c>
      <c r="E33" s="41">
        <f>IF($B33="","",SUMIFS('Money Log'!$E$7:$E$506,'Money Log'!$D$7:$D$506,$B33,'Money Log'!$C$7:$C$506,"Expense",'Money Log'!$G$7:$G$506,E$5))</f>
        <v/>
      </c>
      <c r="F33" s="41">
        <f>IF($B33="","",SUMIFS('Money Log'!$E$7:$E$506,'Money Log'!$D$7:$D$506,$B33,'Money Log'!$C$7:$C$506,"Expense",'Money Log'!$G$7:$G$506,F$5))</f>
        <v/>
      </c>
      <c r="G33" s="41">
        <f>IF($B33="","",SUMIFS('Money Log'!$E$7:$E$506,'Money Log'!$D$7:$D$506,$B33,'Money Log'!$C$7:$C$506,"Expense",'Money Log'!$G$7:$G$506,G$5))</f>
        <v/>
      </c>
      <c r="H33" s="41">
        <f>IF($B33="","",SUMIFS('Money Log'!$E$7:$E$506,'Money Log'!$D$7:$D$506,$B33,'Money Log'!$C$7:$C$506,"Expense",'Money Log'!$G$7:$G$506,H$5))</f>
        <v/>
      </c>
      <c r="I33" s="41">
        <f>IF($B33="","",SUMIFS('Money Log'!$E$7:$E$506,'Money Log'!$D$7:$D$506,$B33,'Money Log'!$C$7:$C$506,"Expense",'Money Log'!$G$7:$G$506,I$5))</f>
        <v/>
      </c>
      <c r="J33" s="41">
        <f>IF($B33="","",SUMIFS('Money Log'!$E$7:$E$506,'Money Log'!$D$7:$D$506,$B33,'Money Log'!$C$7:$C$506,"Expense",'Money Log'!$G$7:$G$506,J$5))</f>
        <v/>
      </c>
      <c r="K33" s="41">
        <f>IF($B33="","",SUMIFS('Money Log'!$E$7:$E$506,'Money Log'!$D$7:$D$506,$B33,'Money Log'!$C$7:$C$506,"Expense",'Money Log'!$G$7:$G$506,K$5))</f>
        <v/>
      </c>
      <c r="L33" s="41">
        <f>IF($B33="","",SUMIFS('Money Log'!$E$7:$E$506,'Money Log'!$D$7:$D$506,$B33,'Money Log'!$C$7:$C$506,"Expense",'Money Log'!$G$7:$G$506,L$5))</f>
        <v/>
      </c>
      <c r="M33" s="41">
        <f>IF($B33="","",SUMIFS('Money Log'!$E$7:$E$506,'Money Log'!$D$7:$D$506,$B33,'Money Log'!$C$7:$C$506,"Expense",'Money Log'!$G$7:$G$506,M$5))</f>
        <v/>
      </c>
      <c r="N33" s="41">
        <f>IF($B33="","",SUMIFS('Money Log'!$E$7:$E$506,'Money Log'!$D$7:$D$506,$B33,'Money Log'!$C$7:$C$506,"Expense",'Money Log'!$G$7:$G$506,N$5))</f>
        <v/>
      </c>
      <c r="O33" s="41">
        <f>IF($B33="","",SUM(C33:N33))</f>
        <v/>
      </c>
    </row>
    <row r="34">
      <c r="B34" s="41">
        <f>IF('Setup'!E25="","",'Setup'!E25)</f>
        <v/>
      </c>
      <c r="C34" s="41">
        <f>IF($B34="","",SUMIFS('Money Log'!$E$7:$E$506,'Money Log'!$D$7:$D$506,$B34,'Money Log'!$C$7:$C$506,"Expense",'Money Log'!$G$7:$G$506,C$5))</f>
        <v/>
      </c>
      <c r="D34" s="41">
        <f>IF($B34="","",SUMIFS('Money Log'!$E$7:$E$506,'Money Log'!$D$7:$D$506,$B34,'Money Log'!$C$7:$C$506,"Expense",'Money Log'!$G$7:$G$506,D$5))</f>
        <v/>
      </c>
      <c r="E34" s="41">
        <f>IF($B34="","",SUMIFS('Money Log'!$E$7:$E$506,'Money Log'!$D$7:$D$506,$B34,'Money Log'!$C$7:$C$506,"Expense",'Money Log'!$G$7:$G$506,E$5))</f>
        <v/>
      </c>
      <c r="F34" s="41">
        <f>IF($B34="","",SUMIFS('Money Log'!$E$7:$E$506,'Money Log'!$D$7:$D$506,$B34,'Money Log'!$C$7:$C$506,"Expense",'Money Log'!$G$7:$G$506,F$5))</f>
        <v/>
      </c>
      <c r="G34" s="41">
        <f>IF($B34="","",SUMIFS('Money Log'!$E$7:$E$506,'Money Log'!$D$7:$D$506,$B34,'Money Log'!$C$7:$C$506,"Expense",'Money Log'!$G$7:$G$506,G$5))</f>
        <v/>
      </c>
      <c r="H34" s="41">
        <f>IF($B34="","",SUMIFS('Money Log'!$E$7:$E$506,'Money Log'!$D$7:$D$506,$B34,'Money Log'!$C$7:$C$506,"Expense",'Money Log'!$G$7:$G$506,H$5))</f>
        <v/>
      </c>
      <c r="I34" s="41">
        <f>IF($B34="","",SUMIFS('Money Log'!$E$7:$E$506,'Money Log'!$D$7:$D$506,$B34,'Money Log'!$C$7:$C$506,"Expense",'Money Log'!$G$7:$G$506,I$5))</f>
        <v/>
      </c>
      <c r="J34" s="41">
        <f>IF($B34="","",SUMIFS('Money Log'!$E$7:$E$506,'Money Log'!$D$7:$D$506,$B34,'Money Log'!$C$7:$C$506,"Expense",'Money Log'!$G$7:$G$506,J$5))</f>
        <v/>
      </c>
      <c r="K34" s="41">
        <f>IF($B34="","",SUMIFS('Money Log'!$E$7:$E$506,'Money Log'!$D$7:$D$506,$B34,'Money Log'!$C$7:$C$506,"Expense",'Money Log'!$G$7:$G$506,K$5))</f>
        <v/>
      </c>
      <c r="L34" s="41">
        <f>IF($B34="","",SUMIFS('Money Log'!$E$7:$E$506,'Money Log'!$D$7:$D$506,$B34,'Money Log'!$C$7:$C$506,"Expense",'Money Log'!$G$7:$G$506,L$5))</f>
        <v/>
      </c>
      <c r="M34" s="41">
        <f>IF($B34="","",SUMIFS('Money Log'!$E$7:$E$506,'Money Log'!$D$7:$D$506,$B34,'Money Log'!$C$7:$C$506,"Expense",'Money Log'!$G$7:$G$506,M$5))</f>
        <v/>
      </c>
      <c r="N34" s="41">
        <f>IF($B34="","",SUMIFS('Money Log'!$E$7:$E$506,'Money Log'!$D$7:$D$506,$B34,'Money Log'!$C$7:$C$506,"Expense",'Money Log'!$G$7:$G$506,N$5))</f>
        <v/>
      </c>
      <c r="O34" s="41">
        <f>IF($B34="","",SUM(C34:N34))</f>
        <v/>
      </c>
    </row>
    <row r="35">
      <c r="B35" s="41">
        <f>IF('Setup'!E26="","",'Setup'!E26)</f>
        <v/>
      </c>
      <c r="C35" s="41">
        <f>IF($B35="","",SUMIFS('Money Log'!$E$7:$E$506,'Money Log'!$D$7:$D$506,$B35,'Money Log'!$C$7:$C$506,"Expense",'Money Log'!$G$7:$G$506,C$5))</f>
        <v/>
      </c>
      <c r="D35" s="41">
        <f>IF($B35="","",SUMIFS('Money Log'!$E$7:$E$506,'Money Log'!$D$7:$D$506,$B35,'Money Log'!$C$7:$C$506,"Expense",'Money Log'!$G$7:$G$506,D$5))</f>
        <v/>
      </c>
      <c r="E35" s="41">
        <f>IF($B35="","",SUMIFS('Money Log'!$E$7:$E$506,'Money Log'!$D$7:$D$506,$B35,'Money Log'!$C$7:$C$506,"Expense",'Money Log'!$G$7:$G$506,E$5))</f>
        <v/>
      </c>
      <c r="F35" s="41">
        <f>IF($B35="","",SUMIFS('Money Log'!$E$7:$E$506,'Money Log'!$D$7:$D$506,$B35,'Money Log'!$C$7:$C$506,"Expense",'Money Log'!$G$7:$G$506,F$5))</f>
        <v/>
      </c>
      <c r="G35" s="41">
        <f>IF($B35="","",SUMIFS('Money Log'!$E$7:$E$506,'Money Log'!$D$7:$D$506,$B35,'Money Log'!$C$7:$C$506,"Expense",'Money Log'!$G$7:$G$506,G$5))</f>
        <v/>
      </c>
      <c r="H35" s="41">
        <f>IF($B35="","",SUMIFS('Money Log'!$E$7:$E$506,'Money Log'!$D$7:$D$506,$B35,'Money Log'!$C$7:$C$506,"Expense",'Money Log'!$G$7:$G$506,H$5))</f>
        <v/>
      </c>
      <c r="I35" s="41">
        <f>IF($B35="","",SUMIFS('Money Log'!$E$7:$E$506,'Money Log'!$D$7:$D$506,$B35,'Money Log'!$C$7:$C$506,"Expense",'Money Log'!$G$7:$G$506,I$5))</f>
        <v/>
      </c>
      <c r="J35" s="41">
        <f>IF($B35="","",SUMIFS('Money Log'!$E$7:$E$506,'Money Log'!$D$7:$D$506,$B35,'Money Log'!$C$7:$C$506,"Expense",'Money Log'!$G$7:$G$506,J$5))</f>
        <v/>
      </c>
      <c r="K35" s="41">
        <f>IF($B35="","",SUMIFS('Money Log'!$E$7:$E$506,'Money Log'!$D$7:$D$506,$B35,'Money Log'!$C$7:$C$506,"Expense",'Money Log'!$G$7:$G$506,K$5))</f>
        <v/>
      </c>
      <c r="L35" s="41">
        <f>IF($B35="","",SUMIFS('Money Log'!$E$7:$E$506,'Money Log'!$D$7:$D$506,$B35,'Money Log'!$C$7:$C$506,"Expense",'Money Log'!$G$7:$G$506,L$5))</f>
        <v/>
      </c>
      <c r="M35" s="41">
        <f>IF($B35="","",SUMIFS('Money Log'!$E$7:$E$506,'Money Log'!$D$7:$D$506,$B35,'Money Log'!$C$7:$C$506,"Expense",'Money Log'!$G$7:$G$506,M$5))</f>
        <v/>
      </c>
      <c r="N35" s="41">
        <f>IF($B35="","",SUMIFS('Money Log'!$E$7:$E$506,'Money Log'!$D$7:$D$506,$B35,'Money Log'!$C$7:$C$506,"Expense",'Money Log'!$G$7:$G$506,N$5))</f>
        <v/>
      </c>
      <c r="O35" s="41">
        <f>IF($B35="","",SUM(C35:N35))</f>
        <v/>
      </c>
    </row>
    <row r="36">
      <c r="B36" s="41">
        <f>IF('Setup'!E27="","",'Setup'!E27)</f>
        <v/>
      </c>
      <c r="C36" s="41">
        <f>IF($B36="","",SUMIFS('Money Log'!$E$7:$E$506,'Money Log'!$D$7:$D$506,$B36,'Money Log'!$C$7:$C$506,"Expense",'Money Log'!$G$7:$G$506,C$5))</f>
        <v/>
      </c>
      <c r="D36" s="41">
        <f>IF($B36="","",SUMIFS('Money Log'!$E$7:$E$506,'Money Log'!$D$7:$D$506,$B36,'Money Log'!$C$7:$C$506,"Expense",'Money Log'!$G$7:$G$506,D$5))</f>
        <v/>
      </c>
      <c r="E36" s="41">
        <f>IF($B36="","",SUMIFS('Money Log'!$E$7:$E$506,'Money Log'!$D$7:$D$506,$B36,'Money Log'!$C$7:$C$506,"Expense",'Money Log'!$G$7:$G$506,E$5))</f>
        <v/>
      </c>
      <c r="F36" s="41">
        <f>IF($B36="","",SUMIFS('Money Log'!$E$7:$E$506,'Money Log'!$D$7:$D$506,$B36,'Money Log'!$C$7:$C$506,"Expense",'Money Log'!$G$7:$G$506,F$5))</f>
        <v/>
      </c>
      <c r="G36" s="41">
        <f>IF($B36="","",SUMIFS('Money Log'!$E$7:$E$506,'Money Log'!$D$7:$D$506,$B36,'Money Log'!$C$7:$C$506,"Expense",'Money Log'!$G$7:$G$506,G$5))</f>
        <v/>
      </c>
      <c r="H36" s="41">
        <f>IF($B36="","",SUMIFS('Money Log'!$E$7:$E$506,'Money Log'!$D$7:$D$506,$B36,'Money Log'!$C$7:$C$506,"Expense",'Money Log'!$G$7:$G$506,H$5))</f>
        <v/>
      </c>
      <c r="I36" s="41">
        <f>IF($B36="","",SUMIFS('Money Log'!$E$7:$E$506,'Money Log'!$D$7:$D$506,$B36,'Money Log'!$C$7:$C$506,"Expense",'Money Log'!$G$7:$G$506,I$5))</f>
        <v/>
      </c>
      <c r="J36" s="41">
        <f>IF($B36="","",SUMIFS('Money Log'!$E$7:$E$506,'Money Log'!$D$7:$D$506,$B36,'Money Log'!$C$7:$C$506,"Expense",'Money Log'!$G$7:$G$506,J$5))</f>
        <v/>
      </c>
      <c r="K36" s="41">
        <f>IF($B36="","",SUMIFS('Money Log'!$E$7:$E$506,'Money Log'!$D$7:$D$506,$B36,'Money Log'!$C$7:$C$506,"Expense",'Money Log'!$G$7:$G$506,K$5))</f>
        <v/>
      </c>
      <c r="L36" s="41">
        <f>IF($B36="","",SUMIFS('Money Log'!$E$7:$E$506,'Money Log'!$D$7:$D$506,$B36,'Money Log'!$C$7:$C$506,"Expense",'Money Log'!$G$7:$G$506,L$5))</f>
        <v/>
      </c>
      <c r="M36" s="41">
        <f>IF($B36="","",SUMIFS('Money Log'!$E$7:$E$506,'Money Log'!$D$7:$D$506,$B36,'Money Log'!$C$7:$C$506,"Expense",'Money Log'!$G$7:$G$506,M$5))</f>
        <v/>
      </c>
      <c r="N36" s="41">
        <f>IF($B36="","",SUMIFS('Money Log'!$E$7:$E$506,'Money Log'!$D$7:$D$506,$B36,'Money Log'!$C$7:$C$506,"Expense",'Money Log'!$G$7:$G$506,N$5))</f>
        <v/>
      </c>
      <c r="O36" s="41">
        <f>IF($B36="","",SUM(C36:N36))</f>
        <v/>
      </c>
    </row>
    <row r="37">
      <c r="B37" s="41">
        <f>IF('Setup'!E28="","",'Setup'!E28)</f>
        <v/>
      </c>
      <c r="C37" s="41">
        <f>IF($B37="","",SUMIFS('Money Log'!$E$7:$E$506,'Money Log'!$D$7:$D$506,$B37,'Money Log'!$C$7:$C$506,"Expense",'Money Log'!$G$7:$G$506,C$5))</f>
        <v/>
      </c>
      <c r="D37" s="41">
        <f>IF($B37="","",SUMIFS('Money Log'!$E$7:$E$506,'Money Log'!$D$7:$D$506,$B37,'Money Log'!$C$7:$C$506,"Expense",'Money Log'!$G$7:$G$506,D$5))</f>
        <v/>
      </c>
      <c r="E37" s="41">
        <f>IF($B37="","",SUMIFS('Money Log'!$E$7:$E$506,'Money Log'!$D$7:$D$506,$B37,'Money Log'!$C$7:$C$506,"Expense",'Money Log'!$G$7:$G$506,E$5))</f>
        <v/>
      </c>
      <c r="F37" s="41">
        <f>IF($B37="","",SUMIFS('Money Log'!$E$7:$E$506,'Money Log'!$D$7:$D$506,$B37,'Money Log'!$C$7:$C$506,"Expense",'Money Log'!$G$7:$G$506,F$5))</f>
        <v/>
      </c>
      <c r="G37" s="41">
        <f>IF($B37="","",SUMIFS('Money Log'!$E$7:$E$506,'Money Log'!$D$7:$D$506,$B37,'Money Log'!$C$7:$C$506,"Expense",'Money Log'!$G$7:$G$506,G$5))</f>
        <v/>
      </c>
      <c r="H37" s="41">
        <f>IF($B37="","",SUMIFS('Money Log'!$E$7:$E$506,'Money Log'!$D$7:$D$506,$B37,'Money Log'!$C$7:$C$506,"Expense",'Money Log'!$G$7:$G$506,H$5))</f>
        <v/>
      </c>
      <c r="I37" s="41">
        <f>IF($B37="","",SUMIFS('Money Log'!$E$7:$E$506,'Money Log'!$D$7:$D$506,$B37,'Money Log'!$C$7:$C$506,"Expense",'Money Log'!$G$7:$G$506,I$5))</f>
        <v/>
      </c>
      <c r="J37" s="41">
        <f>IF($B37="","",SUMIFS('Money Log'!$E$7:$E$506,'Money Log'!$D$7:$D$506,$B37,'Money Log'!$C$7:$C$506,"Expense",'Money Log'!$G$7:$G$506,J$5))</f>
        <v/>
      </c>
      <c r="K37" s="41">
        <f>IF($B37="","",SUMIFS('Money Log'!$E$7:$E$506,'Money Log'!$D$7:$D$506,$B37,'Money Log'!$C$7:$C$506,"Expense",'Money Log'!$G$7:$G$506,K$5))</f>
        <v/>
      </c>
      <c r="L37" s="41">
        <f>IF($B37="","",SUMIFS('Money Log'!$E$7:$E$506,'Money Log'!$D$7:$D$506,$B37,'Money Log'!$C$7:$C$506,"Expense",'Money Log'!$G$7:$G$506,L$5))</f>
        <v/>
      </c>
      <c r="M37" s="41">
        <f>IF($B37="","",SUMIFS('Money Log'!$E$7:$E$506,'Money Log'!$D$7:$D$506,$B37,'Money Log'!$C$7:$C$506,"Expense",'Money Log'!$G$7:$G$506,M$5))</f>
        <v/>
      </c>
      <c r="N37" s="41">
        <f>IF($B37="","",SUMIFS('Money Log'!$E$7:$E$506,'Money Log'!$D$7:$D$506,$B37,'Money Log'!$C$7:$C$506,"Expense",'Money Log'!$G$7:$G$506,N$5))</f>
        <v/>
      </c>
      <c r="O37" s="41">
        <f>IF($B37="","",SUM(C37:N37))</f>
        <v/>
      </c>
    </row>
    <row r="38">
      <c r="B38" s="41">
        <f>IF('Setup'!E29="","",'Setup'!E29)</f>
        <v/>
      </c>
      <c r="C38" s="41">
        <f>IF($B38="","",SUMIFS('Money Log'!$E$7:$E$506,'Money Log'!$D$7:$D$506,$B38,'Money Log'!$C$7:$C$506,"Expense",'Money Log'!$G$7:$G$506,C$5))</f>
        <v/>
      </c>
      <c r="D38" s="41">
        <f>IF($B38="","",SUMIFS('Money Log'!$E$7:$E$506,'Money Log'!$D$7:$D$506,$B38,'Money Log'!$C$7:$C$506,"Expense",'Money Log'!$G$7:$G$506,D$5))</f>
        <v/>
      </c>
      <c r="E38" s="41">
        <f>IF($B38="","",SUMIFS('Money Log'!$E$7:$E$506,'Money Log'!$D$7:$D$506,$B38,'Money Log'!$C$7:$C$506,"Expense",'Money Log'!$G$7:$G$506,E$5))</f>
        <v/>
      </c>
      <c r="F38" s="41">
        <f>IF($B38="","",SUMIFS('Money Log'!$E$7:$E$506,'Money Log'!$D$7:$D$506,$B38,'Money Log'!$C$7:$C$506,"Expense",'Money Log'!$G$7:$G$506,F$5))</f>
        <v/>
      </c>
      <c r="G38" s="41">
        <f>IF($B38="","",SUMIFS('Money Log'!$E$7:$E$506,'Money Log'!$D$7:$D$506,$B38,'Money Log'!$C$7:$C$506,"Expense",'Money Log'!$G$7:$G$506,G$5))</f>
        <v/>
      </c>
      <c r="H38" s="41">
        <f>IF($B38="","",SUMIFS('Money Log'!$E$7:$E$506,'Money Log'!$D$7:$D$506,$B38,'Money Log'!$C$7:$C$506,"Expense",'Money Log'!$G$7:$G$506,H$5))</f>
        <v/>
      </c>
      <c r="I38" s="41">
        <f>IF($B38="","",SUMIFS('Money Log'!$E$7:$E$506,'Money Log'!$D$7:$D$506,$B38,'Money Log'!$C$7:$C$506,"Expense",'Money Log'!$G$7:$G$506,I$5))</f>
        <v/>
      </c>
      <c r="J38" s="41">
        <f>IF($B38="","",SUMIFS('Money Log'!$E$7:$E$506,'Money Log'!$D$7:$D$506,$B38,'Money Log'!$C$7:$C$506,"Expense",'Money Log'!$G$7:$G$506,J$5))</f>
        <v/>
      </c>
      <c r="K38" s="41">
        <f>IF($B38="","",SUMIFS('Money Log'!$E$7:$E$506,'Money Log'!$D$7:$D$506,$B38,'Money Log'!$C$7:$C$506,"Expense",'Money Log'!$G$7:$G$506,K$5))</f>
        <v/>
      </c>
      <c r="L38" s="41">
        <f>IF($B38="","",SUMIFS('Money Log'!$E$7:$E$506,'Money Log'!$D$7:$D$506,$B38,'Money Log'!$C$7:$C$506,"Expense",'Money Log'!$G$7:$G$506,L$5))</f>
        <v/>
      </c>
      <c r="M38" s="41">
        <f>IF($B38="","",SUMIFS('Money Log'!$E$7:$E$506,'Money Log'!$D$7:$D$506,$B38,'Money Log'!$C$7:$C$506,"Expense",'Money Log'!$G$7:$G$506,M$5))</f>
        <v/>
      </c>
      <c r="N38" s="41">
        <f>IF($B38="","",SUMIFS('Money Log'!$E$7:$E$506,'Money Log'!$D$7:$D$506,$B38,'Money Log'!$C$7:$C$506,"Expense",'Money Log'!$G$7:$G$506,N$5))</f>
        <v/>
      </c>
      <c r="O38" s="41">
        <f>IF($B38="","",SUM(C38:N38))</f>
        <v/>
      </c>
    </row>
    <row r="39">
      <c r="B39" s="41">
        <f>IF('Setup'!E30="","",'Setup'!E30)</f>
        <v/>
      </c>
      <c r="C39" s="41">
        <f>IF($B39="","",SUMIFS('Money Log'!$E$7:$E$506,'Money Log'!$D$7:$D$506,$B39,'Money Log'!$C$7:$C$506,"Expense",'Money Log'!$G$7:$G$506,C$5))</f>
        <v/>
      </c>
      <c r="D39" s="41">
        <f>IF($B39="","",SUMIFS('Money Log'!$E$7:$E$506,'Money Log'!$D$7:$D$506,$B39,'Money Log'!$C$7:$C$506,"Expense",'Money Log'!$G$7:$G$506,D$5))</f>
        <v/>
      </c>
      <c r="E39" s="41">
        <f>IF($B39="","",SUMIFS('Money Log'!$E$7:$E$506,'Money Log'!$D$7:$D$506,$B39,'Money Log'!$C$7:$C$506,"Expense",'Money Log'!$G$7:$G$506,E$5))</f>
        <v/>
      </c>
      <c r="F39" s="41">
        <f>IF($B39="","",SUMIFS('Money Log'!$E$7:$E$506,'Money Log'!$D$7:$D$506,$B39,'Money Log'!$C$7:$C$506,"Expense",'Money Log'!$G$7:$G$506,F$5))</f>
        <v/>
      </c>
      <c r="G39" s="41">
        <f>IF($B39="","",SUMIFS('Money Log'!$E$7:$E$506,'Money Log'!$D$7:$D$506,$B39,'Money Log'!$C$7:$C$506,"Expense",'Money Log'!$G$7:$G$506,G$5))</f>
        <v/>
      </c>
      <c r="H39" s="41">
        <f>IF($B39="","",SUMIFS('Money Log'!$E$7:$E$506,'Money Log'!$D$7:$D$506,$B39,'Money Log'!$C$7:$C$506,"Expense",'Money Log'!$G$7:$G$506,H$5))</f>
        <v/>
      </c>
      <c r="I39" s="41">
        <f>IF($B39="","",SUMIFS('Money Log'!$E$7:$E$506,'Money Log'!$D$7:$D$506,$B39,'Money Log'!$C$7:$C$506,"Expense",'Money Log'!$G$7:$G$506,I$5))</f>
        <v/>
      </c>
      <c r="J39" s="41">
        <f>IF($B39="","",SUMIFS('Money Log'!$E$7:$E$506,'Money Log'!$D$7:$D$506,$B39,'Money Log'!$C$7:$C$506,"Expense",'Money Log'!$G$7:$G$506,J$5))</f>
        <v/>
      </c>
      <c r="K39" s="41">
        <f>IF($B39="","",SUMIFS('Money Log'!$E$7:$E$506,'Money Log'!$D$7:$D$506,$B39,'Money Log'!$C$7:$C$506,"Expense",'Money Log'!$G$7:$G$506,K$5))</f>
        <v/>
      </c>
      <c r="L39" s="41">
        <f>IF($B39="","",SUMIFS('Money Log'!$E$7:$E$506,'Money Log'!$D$7:$D$506,$B39,'Money Log'!$C$7:$C$506,"Expense",'Money Log'!$G$7:$G$506,L$5))</f>
        <v/>
      </c>
      <c r="M39" s="41">
        <f>IF($B39="","",SUMIFS('Money Log'!$E$7:$E$506,'Money Log'!$D$7:$D$506,$B39,'Money Log'!$C$7:$C$506,"Expense",'Money Log'!$G$7:$G$506,M$5))</f>
        <v/>
      </c>
      <c r="N39" s="41">
        <f>IF($B39="","",SUMIFS('Money Log'!$E$7:$E$506,'Money Log'!$D$7:$D$506,$B39,'Money Log'!$C$7:$C$506,"Expense",'Money Log'!$G$7:$G$506,N$5))</f>
        <v/>
      </c>
      <c r="O39" s="41">
        <f>IF($B39="","",SUM(C39:N39))</f>
        <v/>
      </c>
    </row>
    <row r="40">
      <c r="B40" s="41">
        <f>IF('Setup'!E31="","",'Setup'!E31)</f>
        <v/>
      </c>
      <c r="C40" s="41">
        <f>IF($B40="","",SUMIFS('Money Log'!$E$7:$E$506,'Money Log'!$D$7:$D$506,$B40,'Money Log'!$C$7:$C$506,"Expense",'Money Log'!$G$7:$G$506,C$5))</f>
        <v/>
      </c>
      <c r="D40" s="41">
        <f>IF($B40="","",SUMIFS('Money Log'!$E$7:$E$506,'Money Log'!$D$7:$D$506,$B40,'Money Log'!$C$7:$C$506,"Expense",'Money Log'!$G$7:$G$506,D$5))</f>
        <v/>
      </c>
      <c r="E40" s="41">
        <f>IF($B40="","",SUMIFS('Money Log'!$E$7:$E$506,'Money Log'!$D$7:$D$506,$B40,'Money Log'!$C$7:$C$506,"Expense",'Money Log'!$G$7:$G$506,E$5))</f>
        <v/>
      </c>
      <c r="F40" s="41">
        <f>IF($B40="","",SUMIFS('Money Log'!$E$7:$E$506,'Money Log'!$D$7:$D$506,$B40,'Money Log'!$C$7:$C$506,"Expense",'Money Log'!$G$7:$G$506,F$5))</f>
        <v/>
      </c>
      <c r="G40" s="41">
        <f>IF($B40="","",SUMIFS('Money Log'!$E$7:$E$506,'Money Log'!$D$7:$D$506,$B40,'Money Log'!$C$7:$C$506,"Expense",'Money Log'!$G$7:$G$506,G$5))</f>
        <v/>
      </c>
      <c r="H40" s="41">
        <f>IF($B40="","",SUMIFS('Money Log'!$E$7:$E$506,'Money Log'!$D$7:$D$506,$B40,'Money Log'!$C$7:$C$506,"Expense",'Money Log'!$G$7:$G$506,H$5))</f>
        <v/>
      </c>
      <c r="I40" s="41">
        <f>IF($B40="","",SUMIFS('Money Log'!$E$7:$E$506,'Money Log'!$D$7:$D$506,$B40,'Money Log'!$C$7:$C$506,"Expense",'Money Log'!$G$7:$G$506,I$5))</f>
        <v/>
      </c>
      <c r="J40" s="41">
        <f>IF($B40="","",SUMIFS('Money Log'!$E$7:$E$506,'Money Log'!$D$7:$D$506,$B40,'Money Log'!$C$7:$C$506,"Expense",'Money Log'!$G$7:$G$506,J$5))</f>
        <v/>
      </c>
      <c r="K40" s="41">
        <f>IF($B40="","",SUMIFS('Money Log'!$E$7:$E$506,'Money Log'!$D$7:$D$506,$B40,'Money Log'!$C$7:$C$506,"Expense",'Money Log'!$G$7:$G$506,K$5))</f>
        <v/>
      </c>
      <c r="L40" s="41">
        <f>IF($B40="","",SUMIFS('Money Log'!$E$7:$E$506,'Money Log'!$D$7:$D$506,$B40,'Money Log'!$C$7:$C$506,"Expense",'Money Log'!$G$7:$G$506,L$5))</f>
        <v/>
      </c>
      <c r="M40" s="41">
        <f>IF($B40="","",SUMIFS('Money Log'!$E$7:$E$506,'Money Log'!$D$7:$D$506,$B40,'Money Log'!$C$7:$C$506,"Expense",'Money Log'!$G$7:$G$506,M$5))</f>
        <v/>
      </c>
      <c r="N40" s="41">
        <f>IF($B40="","",SUMIFS('Money Log'!$E$7:$E$506,'Money Log'!$D$7:$D$506,$B40,'Money Log'!$C$7:$C$506,"Expense",'Money Log'!$G$7:$G$506,N$5))</f>
        <v/>
      </c>
      <c r="O40" s="41">
        <f>IF($B40="","",SUM(C40:N40))</f>
        <v/>
      </c>
    </row>
    <row r="41">
      <c r="B41" s="42" t="inlineStr">
        <is>
          <t>Total expense</t>
        </is>
      </c>
      <c r="C41" s="43">
        <f>SUM(C21:C40)</f>
        <v/>
      </c>
      <c r="D41" s="43">
        <f>SUM(D21:D40)</f>
        <v/>
      </c>
      <c r="E41" s="43">
        <f>SUM(E21:E40)</f>
        <v/>
      </c>
      <c r="F41" s="43">
        <f>SUM(F21:F40)</f>
        <v/>
      </c>
      <c r="G41" s="43">
        <f>SUM(G21:G40)</f>
        <v/>
      </c>
      <c r="H41" s="43">
        <f>SUM(H21:H40)</f>
        <v/>
      </c>
      <c r="I41" s="43">
        <f>SUM(I21:I40)</f>
        <v/>
      </c>
      <c r="J41" s="43">
        <f>SUM(J21:J40)</f>
        <v/>
      </c>
      <c r="K41" s="43">
        <f>SUM(K21:K40)</f>
        <v/>
      </c>
      <c r="L41" s="43">
        <f>SUM(L21:L40)</f>
        <v/>
      </c>
      <c r="M41" s="43">
        <f>SUM(M21:M40)</f>
        <v/>
      </c>
      <c r="N41" s="43">
        <f>SUM(N21:N40)</f>
        <v/>
      </c>
      <c r="O41" s="43">
        <f>SUM(O21:O40)</f>
        <v/>
      </c>
    </row>
    <row r="43">
      <c r="B43" s="45" t="inlineStr">
        <is>
          <t>Net (income − expenses)</t>
        </is>
      </c>
      <c r="C43" s="43">
        <f>C18-C41</f>
        <v/>
      </c>
      <c r="D43" s="43">
        <f>D18-D41</f>
        <v/>
      </c>
      <c r="E43" s="43">
        <f>E18-E41</f>
        <v/>
      </c>
      <c r="F43" s="43">
        <f>F18-F41</f>
        <v/>
      </c>
      <c r="G43" s="43">
        <f>G18-G41</f>
        <v/>
      </c>
      <c r="H43" s="43">
        <f>H18-H41</f>
        <v/>
      </c>
      <c r="I43" s="43">
        <f>I18-I41</f>
        <v/>
      </c>
      <c r="J43" s="43">
        <f>J18-J41</f>
        <v/>
      </c>
      <c r="K43" s="43">
        <f>K18-K41</f>
        <v/>
      </c>
      <c r="L43" s="43">
        <f>L18-L41</f>
        <v/>
      </c>
      <c r="M43" s="43">
        <f>M18-M41</f>
        <v/>
      </c>
      <c r="N43" s="43">
        <f>N18-N41</f>
        <v/>
      </c>
      <c r="O43" s="43">
        <f>O18-O41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H3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" t="n"/>
      <c r="B2" s="2" t="inlineStr">
        <is>
          <t>Savings &amp; Debt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Type targets, balances and amounts saved or paid. Progress fills itself.</t>
        </is>
      </c>
      <c r="C3" s="1" t="n"/>
      <c r="D3" s="1" t="n"/>
      <c r="E3" s="1" t="n"/>
      <c r="F3" s="1" t="n"/>
      <c r="G3" s="1" t="n"/>
      <c r="H3" s="1" t="n"/>
    </row>
    <row r="4" ht="8" customHeight="1"/>
    <row r="6" ht="28" customHeight="1">
      <c r="B6" s="18" t="inlineStr">
        <is>
          <t>Savings goal</t>
        </is>
      </c>
      <c r="C6" s="18" t="inlineStr">
        <is>
          <t>Target</t>
        </is>
      </c>
      <c r="D6" s="18" t="inlineStr">
        <is>
          <t>Saved</t>
        </is>
      </c>
      <c r="E6" s="18" t="inlineStr">
        <is>
          <t>Still needed</t>
        </is>
      </c>
      <c r="F6" s="18" t="inlineStr">
        <is>
          <t>Progress</t>
        </is>
      </c>
      <c r="G6" s="18" t="inlineStr">
        <is>
          <t>Target date</t>
        </is>
      </c>
    </row>
    <row r="7">
      <c r="B7" s="30" t="inlineStr">
        <is>
          <t>Emergency fund</t>
        </is>
      </c>
      <c r="C7" s="33" t="n">
        <v>5000</v>
      </c>
      <c r="D7" s="33" t="n">
        <v>2100</v>
      </c>
      <c r="E7" s="24">
        <f>IF(B7="","",MAX(0,N(C7)-N(D7)))</f>
        <v/>
      </c>
      <c r="F7" s="22">
        <f>IF(OR(B7="",N(C7)=0),"",MIN(1,N(D7)/C7))</f>
        <v/>
      </c>
      <c r="G7" s="32" t="n">
        <v>46568</v>
      </c>
    </row>
    <row r="8">
      <c r="B8" s="30" t="inlineStr">
        <is>
          <t>Vacation</t>
        </is>
      </c>
      <c r="C8" s="33" t="n">
        <v>1800</v>
      </c>
      <c r="D8" s="33" t="n">
        <v>650</v>
      </c>
      <c r="E8" s="24">
        <f>IF(B8="","",MAX(0,N(C8)-N(D8)))</f>
        <v/>
      </c>
      <c r="F8" s="22">
        <f>IF(OR(B8="",N(C8)=0),"",MIN(1,N(D8)/C8))</f>
        <v/>
      </c>
      <c r="G8" s="32" t="n">
        <v>46569</v>
      </c>
    </row>
    <row r="9">
      <c r="B9" s="30" t="inlineStr">
        <is>
          <t>New laptop</t>
        </is>
      </c>
      <c r="C9" s="33" t="n">
        <v>1200</v>
      </c>
      <c r="D9" s="33" t="n">
        <v>900</v>
      </c>
      <c r="E9" s="24">
        <f>IF(B9="","",MAX(0,N(C9)-N(D9)))</f>
        <v/>
      </c>
      <c r="F9" s="22">
        <f>IF(OR(B9="",N(C9)=0),"",MIN(1,N(D9)/C9))</f>
        <v/>
      </c>
      <c r="G9" s="32" t="n">
        <v>46418</v>
      </c>
    </row>
    <row r="10">
      <c r="B10" s="30" t="inlineStr">
        <is>
          <t>Car repairs</t>
        </is>
      </c>
      <c r="C10" s="33" t="n">
        <v>800</v>
      </c>
      <c r="D10" s="33" t="n">
        <v>240</v>
      </c>
      <c r="E10" s="24">
        <f>IF(B10="","",MAX(0,N(C10)-N(D10)))</f>
        <v/>
      </c>
      <c r="F10" s="22">
        <f>IF(OR(B10="",N(C10)=0),"",MIN(1,N(D10)/C10))</f>
        <v/>
      </c>
      <c r="G10" s="32" t="n"/>
    </row>
    <row r="11">
      <c r="B11" s="30" t="n"/>
      <c r="C11" s="33" t="n"/>
      <c r="D11" s="33" t="n"/>
      <c r="E11" s="24">
        <f>IF(B11="","",MAX(0,N(C11)-N(D11)))</f>
        <v/>
      </c>
      <c r="F11" s="22">
        <f>IF(OR(B11="",N(C11)=0),"",MIN(1,N(D11)/C11))</f>
        <v/>
      </c>
      <c r="G11" s="32" t="n"/>
    </row>
    <row r="12">
      <c r="B12" s="30" t="n"/>
      <c r="C12" s="33" t="n"/>
      <c r="D12" s="33" t="n"/>
      <c r="E12" s="24">
        <f>IF(B12="","",MAX(0,N(C12)-N(D12)))</f>
        <v/>
      </c>
      <c r="F12" s="22">
        <f>IF(OR(B12="",N(C12)=0),"",MIN(1,N(D12)/C12))</f>
        <v/>
      </c>
      <c r="G12" s="32" t="n"/>
    </row>
    <row r="13">
      <c r="B13" s="30" t="n"/>
      <c r="C13" s="33" t="n"/>
      <c r="D13" s="33" t="n"/>
      <c r="E13" s="24">
        <f>IF(B13="","",MAX(0,N(C13)-N(D13)))</f>
        <v/>
      </c>
      <c r="F13" s="22">
        <f>IF(OR(B13="",N(C13)=0),"",MIN(1,N(D13)/C13))</f>
        <v/>
      </c>
      <c r="G13" s="32" t="n"/>
    </row>
    <row r="14">
      <c r="B14" s="30" t="n"/>
      <c r="C14" s="33" t="n"/>
      <c r="D14" s="33" t="n"/>
      <c r="E14" s="24">
        <f>IF(B14="","",MAX(0,N(C14)-N(D14)))</f>
        <v/>
      </c>
      <c r="F14" s="22">
        <f>IF(OR(B14="",N(C14)=0),"",MIN(1,N(D14)/C14))</f>
        <v/>
      </c>
      <c r="G14" s="32" t="n"/>
    </row>
    <row r="15">
      <c r="B15" s="30" t="n"/>
      <c r="C15" s="33" t="n"/>
      <c r="D15" s="33" t="n"/>
      <c r="E15" s="24">
        <f>IF(B15="","",MAX(0,N(C15)-N(D15)))</f>
        <v/>
      </c>
      <c r="F15" s="22">
        <f>IF(OR(B15="",N(C15)=0),"",MIN(1,N(D15)/C15))</f>
        <v/>
      </c>
      <c r="G15" s="32" t="n"/>
    </row>
    <row r="16">
      <c r="B16" s="30" t="n"/>
      <c r="C16" s="33" t="n"/>
      <c r="D16" s="33" t="n"/>
      <c r="E16" s="24">
        <f>IF(B16="","",MAX(0,N(C16)-N(D16)))</f>
        <v/>
      </c>
      <c r="F16" s="22">
        <f>IF(OR(B16="",N(C16)=0),"",MIN(1,N(D16)/C16))</f>
        <v/>
      </c>
      <c r="G16" s="32" t="n"/>
    </row>
    <row r="17">
      <c r="B17" s="30" t="n"/>
      <c r="C17" s="33" t="n"/>
      <c r="D17" s="33" t="n"/>
      <c r="E17" s="24">
        <f>IF(B17="","",MAX(0,N(C17)-N(D17)))</f>
        <v/>
      </c>
      <c r="F17" s="22">
        <f>IF(OR(B17="",N(C17)=0),"",MIN(1,N(D17)/C17))</f>
        <v/>
      </c>
      <c r="G17" s="32" t="n"/>
    </row>
    <row r="18">
      <c r="B18" s="30" t="n"/>
      <c r="C18" s="33" t="n"/>
      <c r="D18" s="33" t="n"/>
      <c r="E18" s="24">
        <f>IF(B18="","",MAX(0,N(C18)-N(D18)))</f>
        <v/>
      </c>
      <c r="F18" s="22">
        <f>IF(OR(B18="",N(C18)=0),"",MIN(1,N(D18)/C18))</f>
        <v/>
      </c>
      <c r="G18" s="32" t="n"/>
    </row>
    <row r="21" ht="28" customHeight="1">
      <c r="B21" s="23" t="inlineStr">
        <is>
          <t>Debt</t>
        </is>
      </c>
      <c r="C21" s="23" t="inlineStr">
        <is>
          <t>Starting balance</t>
        </is>
      </c>
      <c r="D21" s="23" t="inlineStr">
        <is>
          <t>Paid so far</t>
        </is>
      </c>
      <c r="E21" s="23" t="inlineStr">
        <is>
          <t>Remaining</t>
        </is>
      </c>
      <c r="F21" s="23" t="inlineStr">
        <is>
          <t>Paid off</t>
        </is>
      </c>
      <c r="G21" s="23" t="inlineStr">
        <is>
          <t>Min. payment</t>
        </is>
      </c>
    </row>
    <row r="22">
      <c r="B22" s="30" t="inlineStr">
        <is>
          <t>Credit card</t>
        </is>
      </c>
      <c r="C22" s="33" t="n">
        <v>3200</v>
      </c>
      <c r="D22" s="33" t="n">
        <v>1150</v>
      </c>
      <c r="E22" s="24">
        <f>IF(B22="","",MAX(0,N(C22)-N(D22)))</f>
        <v/>
      </c>
      <c r="F22" s="22">
        <f>IF(OR(B22="",N(C22)=0),"",MIN(1,N(D22)/C22))</f>
        <v/>
      </c>
      <c r="G22" s="33" t="n">
        <v>90</v>
      </c>
    </row>
    <row r="23">
      <c r="B23" s="30" t="inlineStr">
        <is>
          <t>Car loan</t>
        </is>
      </c>
      <c r="C23" s="33" t="n">
        <v>9800</v>
      </c>
      <c r="D23" s="33" t="n">
        <v>2600</v>
      </c>
      <c r="E23" s="24">
        <f>IF(B23="","",MAX(0,N(C23)-N(D23)))</f>
        <v/>
      </c>
      <c r="F23" s="22">
        <f>IF(OR(B23="",N(C23)=0),"",MIN(1,N(D23)/C23))</f>
        <v/>
      </c>
      <c r="G23" s="33" t="n">
        <v>245</v>
      </c>
    </row>
    <row r="24">
      <c r="B24" s="30" t="inlineStr">
        <is>
          <t>Student loan</t>
        </is>
      </c>
      <c r="C24" s="33" t="n">
        <v>14500</v>
      </c>
      <c r="D24" s="33" t="n">
        <v>1800</v>
      </c>
      <c r="E24" s="24">
        <f>IF(B24="","",MAX(0,N(C24)-N(D24)))</f>
        <v/>
      </c>
      <c r="F24" s="22">
        <f>IF(OR(B24="",N(C24)=0),"",MIN(1,N(D24)/C24))</f>
        <v/>
      </c>
      <c r="G24" s="33" t="n">
        <v>160</v>
      </c>
    </row>
    <row r="25">
      <c r="B25" s="30" t="n"/>
      <c r="C25" s="33" t="n"/>
      <c r="D25" s="33" t="n"/>
      <c r="E25" s="24">
        <f>IF(B25="","",MAX(0,N(C25)-N(D25)))</f>
        <v/>
      </c>
      <c r="F25" s="22">
        <f>IF(OR(B25="",N(C25)=0),"",MIN(1,N(D25)/C25))</f>
        <v/>
      </c>
      <c r="G25" s="33" t="n"/>
    </row>
    <row r="26">
      <c r="B26" s="30" t="n"/>
      <c r="C26" s="33" t="n"/>
      <c r="D26" s="33" t="n"/>
      <c r="E26" s="24">
        <f>IF(B26="","",MAX(0,N(C26)-N(D26)))</f>
        <v/>
      </c>
      <c r="F26" s="22">
        <f>IF(OR(B26="",N(C26)=0),"",MIN(1,N(D26)/C26))</f>
        <v/>
      </c>
      <c r="G26" s="33" t="n"/>
    </row>
    <row r="27">
      <c r="B27" s="30" t="n"/>
      <c r="C27" s="33" t="n"/>
      <c r="D27" s="33" t="n"/>
      <c r="E27" s="24">
        <f>IF(B27="","",MAX(0,N(C27)-N(D27)))</f>
        <v/>
      </c>
      <c r="F27" s="22">
        <f>IF(OR(B27="",N(C27)=0),"",MIN(1,N(D27)/C27))</f>
        <v/>
      </c>
      <c r="G27" s="33" t="n"/>
    </row>
    <row r="28">
      <c r="B28" s="30" t="n"/>
      <c r="C28" s="33" t="n"/>
      <c r="D28" s="33" t="n"/>
      <c r="E28" s="24">
        <f>IF(B28="","",MAX(0,N(C28)-N(D28)))</f>
        <v/>
      </c>
      <c r="F28" s="22">
        <f>IF(OR(B28="",N(C28)=0),"",MIN(1,N(D28)/C28))</f>
        <v/>
      </c>
      <c r="G28" s="33" t="n"/>
    </row>
    <row r="29">
      <c r="B29" s="30" t="n"/>
      <c r="C29" s="33" t="n"/>
      <c r="D29" s="33" t="n"/>
      <c r="E29" s="24">
        <f>IF(B29="","",MAX(0,N(C29)-N(D29)))</f>
        <v/>
      </c>
      <c r="F29" s="22">
        <f>IF(OR(B29="",N(C29)=0),"",MIN(1,N(D29)/C29))</f>
        <v/>
      </c>
      <c r="G29" s="33" t="n"/>
    </row>
    <row r="30">
      <c r="B30" s="30" t="n"/>
      <c r="C30" s="33" t="n"/>
      <c r="D30" s="33" t="n"/>
      <c r="E30" s="24">
        <f>IF(B30="","",MAX(0,N(C30)-N(D30)))</f>
        <v/>
      </c>
      <c r="F30" s="22">
        <f>IF(OR(B30="",N(C30)=0),"",MIN(1,N(D30)/C30))</f>
        <v/>
      </c>
      <c r="G30" s="33" t="n"/>
    </row>
    <row r="31">
      <c r="B31" s="30" t="n"/>
      <c r="C31" s="33" t="n"/>
      <c r="D31" s="33" t="n"/>
      <c r="E31" s="24">
        <f>IF(B31="","",MAX(0,N(C31)-N(D31)))</f>
        <v/>
      </c>
      <c r="F31" s="22">
        <f>IF(OR(B31="",N(C31)=0),"",MIN(1,N(D31)/C31))</f>
        <v/>
      </c>
      <c r="G31" s="33" t="n"/>
    </row>
    <row r="32">
      <c r="B32" s="30" t="n"/>
      <c r="C32" s="33" t="n"/>
      <c r="D32" s="33" t="n"/>
      <c r="E32" s="24">
        <f>IF(B32="","",MAX(0,N(C32)-N(D32)))</f>
        <v/>
      </c>
      <c r="F32" s="22">
        <f>IF(OR(B32="",N(C32)=0),"",MIN(1,N(D32)/C32))</f>
        <v/>
      </c>
      <c r="G32" s="33" t="n"/>
    </row>
    <row r="33">
      <c r="B33" s="30" t="n"/>
      <c r="C33" s="33" t="n"/>
      <c r="D33" s="33" t="n"/>
      <c r="E33" s="24">
        <f>IF(B33="","",MAX(0,N(C33)-N(D33)))</f>
        <v/>
      </c>
      <c r="F33" s="22">
        <f>IF(OR(B33="",N(C33)=0),"",MIN(1,N(D33)/C33))</f>
        <v/>
      </c>
      <c r="G33" s="33" t="n"/>
    </row>
    <row r="36">
      <c r="B36" s="16" t="inlineStr">
        <is>
          <t>Total saved</t>
        </is>
      </c>
      <c r="C36" s="46">
        <f>SUM(D7:D18)</f>
        <v/>
      </c>
    </row>
    <row r="37">
      <c r="B37" s="16" t="inlineStr">
        <is>
          <t>Total debt remaining</t>
        </is>
      </c>
      <c r="C37" s="46">
        <f>SUM(E22:E33)</f>
        <v/>
      </c>
    </row>
    <row r="38">
      <c r="B38" s="16" t="inlineStr">
        <is>
          <t>Monthly minimum payments</t>
        </is>
      </c>
      <c r="C38" s="46">
        <f>SUM(G22:G33)</f>
        <v/>
      </c>
    </row>
  </sheetData>
  <conditionalFormatting sqref="F7:F18">
    <cfRule type="dataBar" priority="1">
      <dataBar>
        <cfvo type="num" val="0"/>
        <cfvo type="num" val="1"/>
        <color rgb="00A8C3A0"/>
      </dataBar>
    </cfRule>
  </conditionalFormatting>
  <conditionalFormatting sqref="F22:F33">
    <cfRule type="dataBar" priority="2">
      <dataBar>
        <cfvo type="num" val="0"/>
        <cfvo type="num" val="1"/>
        <color rgb="00E07A5F"/>
      </dataBar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I106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3" customWidth="1" min="4" max="4"/>
    <col width="11" customWidth="1" min="5" max="5"/>
    <col width="12" customWidth="1" min="6" max="6"/>
    <col width="10" customWidth="1" min="7" max="7"/>
    <col width="3" customWidth="1" min="8" max="8"/>
    <col hidden="1" width="1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" t="n"/>
      <c r="B2" s="2" t="inlineStr">
        <is>
          <t>Task List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Type a task, pick a category, a due date and a priority. Mark it Done when finished.</t>
        </is>
      </c>
      <c r="C3" s="1" t="n"/>
      <c r="D3" s="1" t="n"/>
      <c r="E3" s="1" t="n"/>
      <c r="F3" s="1" t="n"/>
      <c r="G3" s="1" t="n"/>
      <c r="H3" s="1" t="n"/>
    </row>
    <row r="4" ht="8" customHeight="1"/>
    <row r="6" ht="28" customHeight="1">
      <c r="B6" s="19" t="inlineStr">
        <is>
          <t>Task</t>
        </is>
      </c>
      <c r="C6" s="19" t="inlineStr">
        <is>
          <t>Category</t>
        </is>
      </c>
      <c r="D6" s="19" t="inlineStr">
        <is>
          <t>Due date</t>
        </is>
      </c>
      <c r="E6" s="19" t="inlineStr">
        <is>
          <t>Priority</t>
        </is>
      </c>
      <c r="F6" s="19" t="inlineStr">
        <is>
          <t>Status</t>
        </is>
      </c>
      <c r="G6" s="19" t="inlineStr">
        <is>
          <t>Days left</t>
        </is>
      </c>
    </row>
    <row r="7">
      <c r="B7" s="30" t="inlineStr">
        <is>
          <t>Pay car insurance</t>
        </is>
      </c>
      <c r="C7" s="30" t="inlineStr">
        <is>
          <t>Money</t>
        </is>
      </c>
      <c r="D7" s="32" t="n">
        <v>46309</v>
      </c>
      <c r="E7" s="30" t="inlineStr">
        <is>
          <t>High</t>
        </is>
      </c>
      <c r="F7" s="30" t="inlineStr">
        <is>
          <t>To do</t>
        </is>
      </c>
      <c r="G7" s="20">
        <f>IF(OR(B7="",D7="",F7="Done"),"",D7-TODAY())</f>
        <v/>
      </c>
      <c r="I7" s="36">
        <f>IF(OR(B7="",D7="",F7="Done"),"",D7+ROW()/100000)</f>
        <v/>
      </c>
    </row>
    <row r="8">
      <c r="B8" s="30" t="inlineStr">
        <is>
          <t>Book dentist check-up</t>
        </is>
      </c>
      <c r="C8" s="30" t="inlineStr">
        <is>
          <t>Health</t>
        </is>
      </c>
      <c r="D8" s="32" t="n">
        <v>46312</v>
      </c>
      <c r="E8" s="30" t="inlineStr">
        <is>
          <t>Medium</t>
        </is>
      </c>
      <c r="F8" s="30" t="inlineStr">
        <is>
          <t>To do</t>
        </is>
      </c>
      <c r="G8" s="20">
        <f>IF(OR(B8="",D8="",F8="Done"),"",D8-TODAY())</f>
        <v/>
      </c>
      <c r="I8" s="36">
        <f>IF(OR(B8="",D8="",F8="Done"),"",D8+ROW()/100000)</f>
        <v/>
      </c>
    </row>
    <row r="9">
      <c r="B9" s="30" t="inlineStr">
        <is>
          <t>Renew passport</t>
        </is>
      </c>
      <c r="C9" s="30" t="inlineStr">
        <is>
          <t>Personal</t>
        </is>
      </c>
      <c r="D9" s="32" t="n">
        <v>46325</v>
      </c>
      <c r="E9" s="30" t="inlineStr">
        <is>
          <t>Medium</t>
        </is>
      </c>
      <c r="F9" s="30" t="inlineStr">
        <is>
          <t>In progress</t>
        </is>
      </c>
      <c r="G9" s="20">
        <f>IF(OR(B9="",D9="",F9="Done"),"",D9-TODAY())</f>
        <v/>
      </c>
      <c r="I9" s="36">
        <f>IF(OR(B9="",D9="",F9="Done"),"",D9+ROW()/100000)</f>
        <v/>
      </c>
    </row>
    <row r="10">
      <c r="B10" s="30" t="inlineStr">
        <is>
          <t>Order school photos</t>
        </is>
      </c>
      <c r="C10" s="30" t="inlineStr">
        <is>
          <t>Family</t>
        </is>
      </c>
      <c r="D10" s="32" t="n">
        <v>46310</v>
      </c>
      <c r="E10" s="30" t="inlineStr">
        <is>
          <t>Low</t>
        </is>
      </c>
      <c r="F10" s="30" t="inlineStr">
        <is>
          <t>To do</t>
        </is>
      </c>
      <c r="G10" s="20">
        <f>IF(OR(B10="",D10="",F10="Done"),"",D10-TODAY())</f>
        <v/>
      </c>
      <c r="I10" s="36">
        <f>IF(OR(B10="",D10="",F10="Done"),"",D10+ROW()/100000)</f>
        <v/>
      </c>
    </row>
    <row r="11">
      <c r="B11" s="30" t="inlineStr">
        <is>
          <t>Send quarterly report</t>
        </is>
      </c>
      <c r="C11" s="30" t="inlineStr">
        <is>
          <t>Work</t>
        </is>
      </c>
      <c r="D11" s="32" t="n">
        <v>46308</v>
      </c>
      <c r="E11" s="30" t="inlineStr">
        <is>
          <t>High</t>
        </is>
      </c>
      <c r="F11" s="30" t="inlineStr">
        <is>
          <t>In progress</t>
        </is>
      </c>
      <c r="G11" s="20">
        <f>IF(OR(B11="",D11="",F11="Done"),"",D11-TODAY())</f>
        <v/>
      </c>
      <c r="I11" s="36">
        <f>IF(OR(B11="",D11="",F11="Done"),"",D11+ROW()/100000)</f>
        <v/>
      </c>
    </row>
    <row r="12">
      <c r="B12" s="30" t="inlineStr">
        <is>
          <t>Return online order</t>
        </is>
      </c>
      <c r="C12" s="30" t="inlineStr">
        <is>
          <t>Errands</t>
        </is>
      </c>
      <c r="D12" s="32" t="n">
        <v>46306</v>
      </c>
      <c r="E12" s="30" t="inlineStr">
        <is>
          <t>Medium</t>
        </is>
      </c>
      <c r="F12" s="30" t="inlineStr">
        <is>
          <t>To do</t>
        </is>
      </c>
      <c r="G12" s="20">
        <f>IF(OR(B12="",D12="",F12="Done"),"",D12-TODAY())</f>
        <v/>
      </c>
      <c r="I12" s="36">
        <f>IF(OR(B12="",D12="",F12="Done"),"",D12+ROW()/100000)</f>
        <v/>
      </c>
    </row>
    <row r="13">
      <c r="B13" s="30" t="inlineStr">
        <is>
          <t>Clear out garage</t>
        </is>
      </c>
      <c r="C13" s="30" t="inlineStr">
        <is>
          <t>Home</t>
        </is>
      </c>
      <c r="D13" s="32" t="n">
        <v>46319</v>
      </c>
      <c r="E13" s="30" t="inlineStr">
        <is>
          <t>Low</t>
        </is>
      </c>
      <c r="F13" s="30" t="inlineStr">
        <is>
          <t>To do</t>
        </is>
      </c>
      <c r="G13" s="20">
        <f>IF(OR(B13="",D13="",F13="Done"),"",D13-TODAY())</f>
        <v/>
      </c>
      <c r="I13" s="36">
        <f>IF(OR(B13="",D13="",F13="Done"),"",D13+ROW()/100000)</f>
        <v/>
      </c>
    </row>
    <row r="14">
      <c r="B14" s="30" t="inlineStr">
        <is>
          <t>Call the bank about fees</t>
        </is>
      </c>
      <c r="C14" s="30" t="inlineStr">
        <is>
          <t>Money</t>
        </is>
      </c>
      <c r="D14" s="32" t="n">
        <v>46311</v>
      </c>
      <c r="E14" s="30" t="inlineStr">
        <is>
          <t>Medium</t>
        </is>
      </c>
      <c r="F14" s="30" t="inlineStr">
        <is>
          <t>To do</t>
        </is>
      </c>
      <c r="G14" s="20">
        <f>IF(OR(B14="",D14="",F14="Done"),"",D14-TODAY())</f>
        <v/>
      </c>
      <c r="I14" s="36">
        <f>IF(OR(B14="",D14="",F14="Done"),"",D14+ROW()/100000)</f>
        <v/>
      </c>
    </row>
    <row r="15">
      <c r="B15" s="30" t="inlineStr">
        <is>
          <t>Plan weekend trip</t>
        </is>
      </c>
      <c r="C15" s="30" t="inlineStr">
        <is>
          <t>Family</t>
        </is>
      </c>
      <c r="D15" s="32" t="n">
        <v>46316</v>
      </c>
      <c r="E15" s="30" t="inlineStr">
        <is>
          <t>Low</t>
        </is>
      </c>
      <c r="F15" s="30" t="inlineStr">
        <is>
          <t>To do</t>
        </is>
      </c>
      <c r="G15" s="20">
        <f>IF(OR(B15="",D15="",F15="Done"),"",D15-TODAY())</f>
        <v/>
      </c>
      <c r="I15" s="36">
        <f>IF(OR(B15="",D15="",F15="Done"),"",D15+ROW()/100000)</f>
        <v/>
      </c>
    </row>
    <row r="16">
      <c r="B16" s="30" t="inlineStr">
        <is>
          <t>Change smoke alarm batteries</t>
        </is>
      </c>
      <c r="C16" s="30" t="inlineStr">
        <is>
          <t>Home</t>
        </is>
      </c>
      <c r="D16" s="32" t="n">
        <v>46304</v>
      </c>
      <c r="E16" s="30" t="inlineStr">
        <is>
          <t>High</t>
        </is>
      </c>
      <c r="F16" s="30" t="inlineStr">
        <is>
          <t>Done</t>
        </is>
      </c>
      <c r="G16" s="20">
        <f>IF(OR(B16="",D16="",F16="Done"),"",D16-TODAY())</f>
        <v/>
      </c>
      <c r="I16" s="36">
        <f>IF(OR(B16="",D16="",F16="Done"),"",D16+ROW()/100000)</f>
        <v/>
      </c>
    </row>
    <row r="17">
      <c r="B17" s="30" t="n"/>
      <c r="C17" s="30" t="n"/>
      <c r="D17" s="32" t="n"/>
      <c r="E17" s="30" t="n"/>
      <c r="F17" s="30" t="n"/>
      <c r="G17" s="20">
        <f>IF(OR(B17="",D17="",F17="Done"),"",D17-TODAY())</f>
        <v/>
      </c>
      <c r="I17" s="36">
        <f>IF(OR(B17="",D17="",F17="Done"),"",D17+ROW()/100000)</f>
        <v/>
      </c>
    </row>
    <row r="18">
      <c r="B18" s="30" t="n"/>
      <c r="C18" s="30" t="n"/>
      <c r="D18" s="32" t="n"/>
      <c r="E18" s="30" t="n"/>
      <c r="F18" s="30" t="n"/>
      <c r="G18" s="20">
        <f>IF(OR(B18="",D18="",F18="Done"),"",D18-TODAY())</f>
        <v/>
      </c>
      <c r="I18" s="36">
        <f>IF(OR(B18="",D18="",F18="Done"),"",D18+ROW()/100000)</f>
        <v/>
      </c>
    </row>
    <row r="19">
      <c r="B19" s="30" t="n"/>
      <c r="C19" s="30" t="n"/>
      <c r="D19" s="32" t="n"/>
      <c r="E19" s="30" t="n"/>
      <c r="F19" s="30" t="n"/>
      <c r="G19" s="20">
        <f>IF(OR(B19="",D19="",F19="Done"),"",D19-TODAY())</f>
        <v/>
      </c>
      <c r="I19" s="36">
        <f>IF(OR(B19="",D19="",F19="Done"),"",D19+ROW()/100000)</f>
        <v/>
      </c>
    </row>
    <row r="20">
      <c r="B20" s="30" t="n"/>
      <c r="C20" s="30" t="n"/>
      <c r="D20" s="32" t="n"/>
      <c r="E20" s="30" t="n"/>
      <c r="F20" s="30" t="n"/>
      <c r="G20" s="20">
        <f>IF(OR(B20="",D20="",F20="Done"),"",D20-TODAY())</f>
        <v/>
      </c>
      <c r="I20" s="36">
        <f>IF(OR(B20="",D20="",F20="Done"),"",D20+ROW()/100000)</f>
        <v/>
      </c>
    </row>
    <row r="21">
      <c r="B21" s="30" t="n"/>
      <c r="C21" s="30" t="n"/>
      <c r="D21" s="32" t="n"/>
      <c r="E21" s="30" t="n"/>
      <c r="F21" s="30" t="n"/>
      <c r="G21" s="20">
        <f>IF(OR(B21="",D21="",F21="Done"),"",D21-TODAY())</f>
        <v/>
      </c>
      <c r="I21" s="36">
        <f>IF(OR(B21="",D21="",F21="Done"),"",D21+ROW()/100000)</f>
        <v/>
      </c>
    </row>
    <row r="22">
      <c r="B22" s="30" t="n"/>
      <c r="C22" s="30" t="n"/>
      <c r="D22" s="32" t="n"/>
      <c r="E22" s="30" t="n"/>
      <c r="F22" s="30" t="n"/>
      <c r="G22" s="20">
        <f>IF(OR(B22="",D22="",F22="Done"),"",D22-TODAY())</f>
        <v/>
      </c>
      <c r="I22" s="36">
        <f>IF(OR(B22="",D22="",F22="Done"),"",D22+ROW()/100000)</f>
        <v/>
      </c>
    </row>
    <row r="23">
      <c r="B23" s="30" t="n"/>
      <c r="C23" s="30" t="n"/>
      <c r="D23" s="32" t="n"/>
      <c r="E23" s="30" t="n"/>
      <c r="F23" s="30" t="n"/>
      <c r="G23" s="20">
        <f>IF(OR(B23="",D23="",F23="Done"),"",D23-TODAY())</f>
        <v/>
      </c>
      <c r="I23" s="36">
        <f>IF(OR(B23="",D23="",F23="Done"),"",D23+ROW()/100000)</f>
        <v/>
      </c>
    </row>
    <row r="24">
      <c r="B24" s="30" t="n"/>
      <c r="C24" s="30" t="n"/>
      <c r="D24" s="32" t="n"/>
      <c r="E24" s="30" t="n"/>
      <c r="F24" s="30" t="n"/>
      <c r="G24" s="20">
        <f>IF(OR(B24="",D24="",F24="Done"),"",D24-TODAY())</f>
        <v/>
      </c>
      <c r="I24" s="36">
        <f>IF(OR(B24="",D24="",F24="Done"),"",D24+ROW()/100000)</f>
        <v/>
      </c>
    </row>
    <row r="25">
      <c r="B25" s="30" t="n"/>
      <c r="C25" s="30" t="n"/>
      <c r="D25" s="32" t="n"/>
      <c r="E25" s="30" t="n"/>
      <c r="F25" s="30" t="n"/>
      <c r="G25" s="20">
        <f>IF(OR(B25="",D25="",F25="Done"),"",D25-TODAY())</f>
        <v/>
      </c>
      <c r="I25" s="36">
        <f>IF(OR(B25="",D25="",F25="Done"),"",D25+ROW()/100000)</f>
        <v/>
      </c>
    </row>
    <row r="26">
      <c r="B26" s="30" t="n"/>
      <c r="C26" s="30" t="n"/>
      <c r="D26" s="32" t="n"/>
      <c r="E26" s="30" t="n"/>
      <c r="F26" s="30" t="n"/>
      <c r="G26" s="20">
        <f>IF(OR(B26="",D26="",F26="Done"),"",D26-TODAY())</f>
        <v/>
      </c>
      <c r="I26" s="36">
        <f>IF(OR(B26="",D26="",F26="Done"),"",D26+ROW()/100000)</f>
        <v/>
      </c>
    </row>
    <row r="27">
      <c r="B27" s="30" t="n"/>
      <c r="C27" s="30" t="n"/>
      <c r="D27" s="32" t="n"/>
      <c r="E27" s="30" t="n"/>
      <c r="F27" s="30" t="n"/>
      <c r="G27" s="20">
        <f>IF(OR(B27="",D27="",F27="Done"),"",D27-TODAY())</f>
        <v/>
      </c>
      <c r="I27" s="36">
        <f>IF(OR(B27="",D27="",F27="Done"),"",D27+ROW()/100000)</f>
        <v/>
      </c>
    </row>
    <row r="28">
      <c r="B28" s="30" t="n"/>
      <c r="C28" s="30" t="n"/>
      <c r="D28" s="32" t="n"/>
      <c r="E28" s="30" t="n"/>
      <c r="F28" s="30" t="n"/>
      <c r="G28" s="20">
        <f>IF(OR(B28="",D28="",F28="Done"),"",D28-TODAY())</f>
        <v/>
      </c>
      <c r="I28" s="36">
        <f>IF(OR(B28="",D28="",F28="Done"),"",D28+ROW()/100000)</f>
        <v/>
      </c>
    </row>
    <row r="29">
      <c r="B29" s="30" t="n"/>
      <c r="C29" s="30" t="n"/>
      <c r="D29" s="32" t="n"/>
      <c r="E29" s="30" t="n"/>
      <c r="F29" s="30" t="n"/>
      <c r="G29" s="20">
        <f>IF(OR(B29="",D29="",F29="Done"),"",D29-TODAY())</f>
        <v/>
      </c>
      <c r="I29" s="36">
        <f>IF(OR(B29="",D29="",F29="Done"),"",D29+ROW()/100000)</f>
        <v/>
      </c>
    </row>
    <row r="30">
      <c r="B30" s="30" t="n"/>
      <c r="C30" s="30" t="n"/>
      <c r="D30" s="32" t="n"/>
      <c r="E30" s="30" t="n"/>
      <c r="F30" s="30" t="n"/>
      <c r="G30" s="20">
        <f>IF(OR(B30="",D30="",F30="Done"),"",D30-TODAY())</f>
        <v/>
      </c>
      <c r="I30" s="36">
        <f>IF(OR(B30="",D30="",F30="Done"),"",D30+ROW()/100000)</f>
        <v/>
      </c>
    </row>
    <row r="31">
      <c r="B31" s="30" t="n"/>
      <c r="C31" s="30" t="n"/>
      <c r="D31" s="32" t="n"/>
      <c r="E31" s="30" t="n"/>
      <c r="F31" s="30" t="n"/>
      <c r="G31" s="20">
        <f>IF(OR(B31="",D31="",F31="Done"),"",D31-TODAY())</f>
        <v/>
      </c>
      <c r="I31" s="36">
        <f>IF(OR(B31="",D31="",F31="Done"),"",D31+ROW()/100000)</f>
        <v/>
      </c>
    </row>
    <row r="32">
      <c r="B32" s="30" t="n"/>
      <c r="C32" s="30" t="n"/>
      <c r="D32" s="32" t="n"/>
      <c r="E32" s="30" t="n"/>
      <c r="F32" s="30" t="n"/>
      <c r="G32" s="20">
        <f>IF(OR(B32="",D32="",F32="Done"),"",D32-TODAY())</f>
        <v/>
      </c>
      <c r="I32" s="36">
        <f>IF(OR(B32="",D32="",F32="Done"),"",D32+ROW()/100000)</f>
        <v/>
      </c>
    </row>
    <row r="33">
      <c r="B33" s="30" t="n"/>
      <c r="C33" s="30" t="n"/>
      <c r="D33" s="32" t="n"/>
      <c r="E33" s="30" t="n"/>
      <c r="F33" s="30" t="n"/>
      <c r="G33" s="20">
        <f>IF(OR(B33="",D33="",F33="Done"),"",D33-TODAY())</f>
        <v/>
      </c>
      <c r="I33" s="36">
        <f>IF(OR(B33="",D33="",F33="Done"),"",D33+ROW()/100000)</f>
        <v/>
      </c>
    </row>
    <row r="34">
      <c r="B34" s="30" t="n"/>
      <c r="C34" s="30" t="n"/>
      <c r="D34" s="32" t="n"/>
      <c r="E34" s="30" t="n"/>
      <c r="F34" s="30" t="n"/>
      <c r="G34" s="20">
        <f>IF(OR(B34="",D34="",F34="Done"),"",D34-TODAY())</f>
        <v/>
      </c>
      <c r="I34" s="36">
        <f>IF(OR(B34="",D34="",F34="Done"),"",D34+ROW()/100000)</f>
        <v/>
      </c>
    </row>
    <row r="35">
      <c r="B35" s="30" t="n"/>
      <c r="C35" s="30" t="n"/>
      <c r="D35" s="32" t="n"/>
      <c r="E35" s="30" t="n"/>
      <c r="F35" s="30" t="n"/>
      <c r="G35" s="20">
        <f>IF(OR(B35="",D35="",F35="Done"),"",D35-TODAY())</f>
        <v/>
      </c>
      <c r="I35" s="36">
        <f>IF(OR(B35="",D35="",F35="Done"),"",D35+ROW()/100000)</f>
        <v/>
      </c>
    </row>
    <row r="36">
      <c r="B36" s="30" t="n"/>
      <c r="C36" s="30" t="n"/>
      <c r="D36" s="32" t="n"/>
      <c r="E36" s="30" t="n"/>
      <c r="F36" s="30" t="n"/>
      <c r="G36" s="20">
        <f>IF(OR(B36="",D36="",F36="Done"),"",D36-TODAY())</f>
        <v/>
      </c>
      <c r="I36" s="36">
        <f>IF(OR(B36="",D36="",F36="Done"),"",D36+ROW()/100000)</f>
        <v/>
      </c>
    </row>
    <row r="37">
      <c r="B37" s="30" t="n"/>
      <c r="C37" s="30" t="n"/>
      <c r="D37" s="32" t="n"/>
      <c r="E37" s="30" t="n"/>
      <c r="F37" s="30" t="n"/>
      <c r="G37" s="20">
        <f>IF(OR(B37="",D37="",F37="Done"),"",D37-TODAY())</f>
        <v/>
      </c>
      <c r="I37" s="36">
        <f>IF(OR(B37="",D37="",F37="Done"),"",D37+ROW()/100000)</f>
        <v/>
      </c>
    </row>
    <row r="38">
      <c r="B38" s="30" t="n"/>
      <c r="C38" s="30" t="n"/>
      <c r="D38" s="32" t="n"/>
      <c r="E38" s="30" t="n"/>
      <c r="F38" s="30" t="n"/>
      <c r="G38" s="20">
        <f>IF(OR(B38="",D38="",F38="Done"),"",D38-TODAY())</f>
        <v/>
      </c>
      <c r="I38" s="36">
        <f>IF(OR(B38="",D38="",F38="Done"),"",D38+ROW()/100000)</f>
        <v/>
      </c>
    </row>
    <row r="39">
      <c r="B39" s="30" t="n"/>
      <c r="C39" s="30" t="n"/>
      <c r="D39" s="32" t="n"/>
      <c r="E39" s="30" t="n"/>
      <c r="F39" s="30" t="n"/>
      <c r="G39" s="20">
        <f>IF(OR(B39="",D39="",F39="Done"),"",D39-TODAY())</f>
        <v/>
      </c>
      <c r="I39" s="36">
        <f>IF(OR(B39="",D39="",F39="Done"),"",D39+ROW()/100000)</f>
        <v/>
      </c>
    </row>
    <row r="40">
      <c r="B40" s="30" t="n"/>
      <c r="C40" s="30" t="n"/>
      <c r="D40" s="32" t="n"/>
      <c r="E40" s="30" t="n"/>
      <c r="F40" s="30" t="n"/>
      <c r="G40" s="20">
        <f>IF(OR(B40="",D40="",F40="Done"),"",D40-TODAY())</f>
        <v/>
      </c>
      <c r="I40" s="36">
        <f>IF(OR(B40="",D40="",F40="Done"),"",D40+ROW()/100000)</f>
        <v/>
      </c>
    </row>
    <row r="41">
      <c r="B41" s="30" t="n"/>
      <c r="C41" s="30" t="n"/>
      <c r="D41" s="32" t="n"/>
      <c r="E41" s="30" t="n"/>
      <c r="F41" s="30" t="n"/>
      <c r="G41" s="20">
        <f>IF(OR(B41="",D41="",F41="Done"),"",D41-TODAY())</f>
        <v/>
      </c>
      <c r="I41" s="36">
        <f>IF(OR(B41="",D41="",F41="Done"),"",D41+ROW()/100000)</f>
        <v/>
      </c>
    </row>
    <row r="42">
      <c r="B42" s="30" t="n"/>
      <c r="C42" s="30" t="n"/>
      <c r="D42" s="32" t="n"/>
      <c r="E42" s="30" t="n"/>
      <c r="F42" s="30" t="n"/>
      <c r="G42" s="20">
        <f>IF(OR(B42="",D42="",F42="Done"),"",D42-TODAY())</f>
        <v/>
      </c>
      <c r="I42" s="36">
        <f>IF(OR(B42="",D42="",F42="Done"),"",D42+ROW()/100000)</f>
        <v/>
      </c>
    </row>
    <row r="43">
      <c r="B43" s="30" t="n"/>
      <c r="C43" s="30" t="n"/>
      <c r="D43" s="32" t="n"/>
      <c r="E43" s="30" t="n"/>
      <c r="F43" s="30" t="n"/>
      <c r="G43" s="20">
        <f>IF(OR(B43="",D43="",F43="Done"),"",D43-TODAY())</f>
        <v/>
      </c>
      <c r="I43" s="36">
        <f>IF(OR(B43="",D43="",F43="Done"),"",D43+ROW()/100000)</f>
        <v/>
      </c>
    </row>
    <row r="44">
      <c r="B44" s="30" t="n"/>
      <c r="C44" s="30" t="n"/>
      <c r="D44" s="32" t="n"/>
      <c r="E44" s="30" t="n"/>
      <c r="F44" s="30" t="n"/>
      <c r="G44" s="20">
        <f>IF(OR(B44="",D44="",F44="Done"),"",D44-TODAY())</f>
        <v/>
      </c>
      <c r="I44" s="36">
        <f>IF(OR(B44="",D44="",F44="Done"),"",D44+ROW()/100000)</f>
        <v/>
      </c>
    </row>
    <row r="45">
      <c r="B45" s="30" t="n"/>
      <c r="C45" s="30" t="n"/>
      <c r="D45" s="32" t="n"/>
      <c r="E45" s="30" t="n"/>
      <c r="F45" s="30" t="n"/>
      <c r="G45" s="20">
        <f>IF(OR(B45="",D45="",F45="Done"),"",D45-TODAY())</f>
        <v/>
      </c>
      <c r="I45" s="36">
        <f>IF(OR(B45="",D45="",F45="Done"),"",D45+ROW()/100000)</f>
        <v/>
      </c>
    </row>
    <row r="46">
      <c r="B46" s="30" t="n"/>
      <c r="C46" s="30" t="n"/>
      <c r="D46" s="32" t="n"/>
      <c r="E46" s="30" t="n"/>
      <c r="F46" s="30" t="n"/>
      <c r="G46" s="20">
        <f>IF(OR(B46="",D46="",F46="Done"),"",D46-TODAY())</f>
        <v/>
      </c>
      <c r="I46" s="36">
        <f>IF(OR(B46="",D46="",F46="Done"),"",D46+ROW()/100000)</f>
        <v/>
      </c>
    </row>
    <row r="47">
      <c r="B47" s="30" t="n"/>
      <c r="C47" s="30" t="n"/>
      <c r="D47" s="32" t="n"/>
      <c r="E47" s="30" t="n"/>
      <c r="F47" s="30" t="n"/>
      <c r="G47" s="20">
        <f>IF(OR(B47="",D47="",F47="Done"),"",D47-TODAY())</f>
        <v/>
      </c>
      <c r="I47" s="36">
        <f>IF(OR(B47="",D47="",F47="Done"),"",D47+ROW()/100000)</f>
        <v/>
      </c>
    </row>
    <row r="48">
      <c r="B48" s="30" t="n"/>
      <c r="C48" s="30" t="n"/>
      <c r="D48" s="32" t="n"/>
      <c r="E48" s="30" t="n"/>
      <c r="F48" s="30" t="n"/>
      <c r="G48" s="20">
        <f>IF(OR(B48="",D48="",F48="Done"),"",D48-TODAY())</f>
        <v/>
      </c>
      <c r="I48" s="36">
        <f>IF(OR(B48="",D48="",F48="Done"),"",D48+ROW()/100000)</f>
        <v/>
      </c>
    </row>
    <row r="49">
      <c r="B49" s="30" t="n"/>
      <c r="C49" s="30" t="n"/>
      <c r="D49" s="32" t="n"/>
      <c r="E49" s="30" t="n"/>
      <c r="F49" s="30" t="n"/>
      <c r="G49" s="20">
        <f>IF(OR(B49="",D49="",F49="Done"),"",D49-TODAY())</f>
        <v/>
      </c>
      <c r="I49" s="36">
        <f>IF(OR(B49="",D49="",F49="Done"),"",D49+ROW()/100000)</f>
        <v/>
      </c>
    </row>
    <row r="50">
      <c r="B50" s="30" t="n"/>
      <c r="C50" s="30" t="n"/>
      <c r="D50" s="32" t="n"/>
      <c r="E50" s="30" t="n"/>
      <c r="F50" s="30" t="n"/>
      <c r="G50" s="20">
        <f>IF(OR(B50="",D50="",F50="Done"),"",D50-TODAY())</f>
        <v/>
      </c>
      <c r="I50" s="36">
        <f>IF(OR(B50="",D50="",F50="Done"),"",D50+ROW()/100000)</f>
        <v/>
      </c>
    </row>
    <row r="51">
      <c r="B51" s="30" t="n"/>
      <c r="C51" s="30" t="n"/>
      <c r="D51" s="32" t="n"/>
      <c r="E51" s="30" t="n"/>
      <c r="F51" s="30" t="n"/>
      <c r="G51" s="20">
        <f>IF(OR(B51="",D51="",F51="Done"),"",D51-TODAY())</f>
        <v/>
      </c>
      <c r="I51" s="36">
        <f>IF(OR(B51="",D51="",F51="Done"),"",D51+ROW()/100000)</f>
        <v/>
      </c>
    </row>
    <row r="52">
      <c r="B52" s="30" t="n"/>
      <c r="C52" s="30" t="n"/>
      <c r="D52" s="32" t="n"/>
      <c r="E52" s="30" t="n"/>
      <c r="F52" s="30" t="n"/>
      <c r="G52" s="20">
        <f>IF(OR(B52="",D52="",F52="Done"),"",D52-TODAY())</f>
        <v/>
      </c>
      <c r="I52" s="36">
        <f>IF(OR(B52="",D52="",F52="Done"),"",D52+ROW()/100000)</f>
        <v/>
      </c>
    </row>
    <row r="53">
      <c r="B53" s="30" t="n"/>
      <c r="C53" s="30" t="n"/>
      <c r="D53" s="32" t="n"/>
      <c r="E53" s="30" t="n"/>
      <c r="F53" s="30" t="n"/>
      <c r="G53" s="20">
        <f>IF(OR(B53="",D53="",F53="Done"),"",D53-TODAY())</f>
        <v/>
      </c>
      <c r="I53" s="36">
        <f>IF(OR(B53="",D53="",F53="Done"),"",D53+ROW()/100000)</f>
        <v/>
      </c>
    </row>
    <row r="54">
      <c r="B54" s="30" t="n"/>
      <c r="C54" s="30" t="n"/>
      <c r="D54" s="32" t="n"/>
      <c r="E54" s="30" t="n"/>
      <c r="F54" s="30" t="n"/>
      <c r="G54" s="20">
        <f>IF(OR(B54="",D54="",F54="Done"),"",D54-TODAY())</f>
        <v/>
      </c>
      <c r="I54" s="36">
        <f>IF(OR(B54="",D54="",F54="Done"),"",D54+ROW()/100000)</f>
        <v/>
      </c>
    </row>
    <row r="55">
      <c r="B55" s="30" t="n"/>
      <c r="C55" s="30" t="n"/>
      <c r="D55" s="32" t="n"/>
      <c r="E55" s="30" t="n"/>
      <c r="F55" s="30" t="n"/>
      <c r="G55" s="20">
        <f>IF(OR(B55="",D55="",F55="Done"),"",D55-TODAY())</f>
        <v/>
      </c>
      <c r="I55" s="36">
        <f>IF(OR(B55="",D55="",F55="Done"),"",D55+ROW()/100000)</f>
        <v/>
      </c>
    </row>
    <row r="56">
      <c r="B56" s="30" t="n"/>
      <c r="C56" s="30" t="n"/>
      <c r="D56" s="32" t="n"/>
      <c r="E56" s="30" t="n"/>
      <c r="F56" s="30" t="n"/>
      <c r="G56" s="20">
        <f>IF(OR(B56="",D56="",F56="Done"),"",D56-TODAY())</f>
        <v/>
      </c>
      <c r="I56" s="36">
        <f>IF(OR(B56="",D56="",F56="Done"),"",D56+ROW()/100000)</f>
        <v/>
      </c>
    </row>
    <row r="57">
      <c r="B57" s="30" t="n"/>
      <c r="C57" s="30" t="n"/>
      <c r="D57" s="32" t="n"/>
      <c r="E57" s="30" t="n"/>
      <c r="F57" s="30" t="n"/>
      <c r="G57" s="20">
        <f>IF(OR(B57="",D57="",F57="Done"),"",D57-TODAY())</f>
        <v/>
      </c>
      <c r="I57" s="36">
        <f>IF(OR(B57="",D57="",F57="Done"),"",D57+ROW()/100000)</f>
        <v/>
      </c>
    </row>
    <row r="58">
      <c r="B58" s="30" t="n"/>
      <c r="C58" s="30" t="n"/>
      <c r="D58" s="32" t="n"/>
      <c r="E58" s="30" t="n"/>
      <c r="F58" s="30" t="n"/>
      <c r="G58" s="20">
        <f>IF(OR(B58="",D58="",F58="Done"),"",D58-TODAY())</f>
        <v/>
      </c>
      <c r="I58" s="36">
        <f>IF(OR(B58="",D58="",F58="Done"),"",D58+ROW()/100000)</f>
        <v/>
      </c>
    </row>
    <row r="59">
      <c r="B59" s="30" t="n"/>
      <c r="C59" s="30" t="n"/>
      <c r="D59" s="32" t="n"/>
      <c r="E59" s="30" t="n"/>
      <c r="F59" s="30" t="n"/>
      <c r="G59" s="20">
        <f>IF(OR(B59="",D59="",F59="Done"),"",D59-TODAY())</f>
        <v/>
      </c>
      <c r="I59" s="36">
        <f>IF(OR(B59="",D59="",F59="Done"),"",D59+ROW()/100000)</f>
        <v/>
      </c>
    </row>
    <row r="60">
      <c r="B60" s="30" t="n"/>
      <c r="C60" s="30" t="n"/>
      <c r="D60" s="32" t="n"/>
      <c r="E60" s="30" t="n"/>
      <c r="F60" s="30" t="n"/>
      <c r="G60" s="20">
        <f>IF(OR(B60="",D60="",F60="Done"),"",D60-TODAY())</f>
        <v/>
      </c>
      <c r="I60" s="36">
        <f>IF(OR(B60="",D60="",F60="Done"),"",D60+ROW()/100000)</f>
        <v/>
      </c>
    </row>
    <row r="61">
      <c r="B61" s="30" t="n"/>
      <c r="C61" s="30" t="n"/>
      <c r="D61" s="32" t="n"/>
      <c r="E61" s="30" t="n"/>
      <c r="F61" s="30" t="n"/>
      <c r="G61" s="20">
        <f>IF(OR(B61="",D61="",F61="Done"),"",D61-TODAY())</f>
        <v/>
      </c>
      <c r="I61" s="36">
        <f>IF(OR(B61="",D61="",F61="Done"),"",D61+ROW()/100000)</f>
        <v/>
      </c>
    </row>
    <row r="62">
      <c r="B62" s="30" t="n"/>
      <c r="C62" s="30" t="n"/>
      <c r="D62" s="32" t="n"/>
      <c r="E62" s="30" t="n"/>
      <c r="F62" s="30" t="n"/>
      <c r="G62" s="20">
        <f>IF(OR(B62="",D62="",F62="Done"),"",D62-TODAY())</f>
        <v/>
      </c>
      <c r="I62" s="36">
        <f>IF(OR(B62="",D62="",F62="Done"),"",D62+ROW()/100000)</f>
        <v/>
      </c>
    </row>
    <row r="63">
      <c r="B63" s="30" t="n"/>
      <c r="C63" s="30" t="n"/>
      <c r="D63" s="32" t="n"/>
      <c r="E63" s="30" t="n"/>
      <c r="F63" s="30" t="n"/>
      <c r="G63" s="20">
        <f>IF(OR(B63="",D63="",F63="Done"),"",D63-TODAY())</f>
        <v/>
      </c>
      <c r="I63" s="36">
        <f>IF(OR(B63="",D63="",F63="Done"),"",D63+ROW()/100000)</f>
        <v/>
      </c>
    </row>
    <row r="64">
      <c r="B64" s="30" t="n"/>
      <c r="C64" s="30" t="n"/>
      <c r="D64" s="32" t="n"/>
      <c r="E64" s="30" t="n"/>
      <c r="F64" s="30" t="n"/>
      <c r="G64" s="20">
        <f>IF(OR(B64="",D64="",F64="Done"),"",D64-TODAY())</f>
        <v/>
      </c>
      <c r="I64" s="36">
        <f>IF(OR(B64="",D64="",F64="Done"),"",D64+ROW()/100000)</f>
        <v/>
      </c>
    </row>
    <row r="65">
      <c r="B65" s="30" t="n"/>
      <c r="C65" s="30" t="n"/>
      <c r="D65" s="32" t="n"/>
      <c r="E65" s="30" t="n"/>
      <c r="F65" s="30" t="n"/>
      <c r="G65" s="20">
        <f>IF(OR(B65="",D65="",F65="Done"),"",D65-TODAY())</f>
        <v/>
      </c>
      <c r="I65" s="36">
        <f>IF(OR(B65="",D65="",F65="Done"),"",D65+ROW()/100000)</f>
        <v/>
      </c>
    </row>
    <row r="66">
      <c r="B66" s="30" t="n"/>
      <c r="C66" s="30" t="n"/>
      <c r="D66" s="32" t="n"/>
      <c r="E66" s="30" t="n"/>
      <c r="F66" s="30" t="n"/>
      <c r="G66" s="20">
        <f>IF(OR(B66="",D66="",F66="Done"),"",D66-TODAY())</f>
        <v/>
      </c>
      <c r="I66" s="36">
        <f>IF(OR(B66="",D66="",F66="Done"),"",D66+ROW()/100000)</f>
        <v/>
      </c>
    </row>
    <row r="67">
      <c r="B67" s="30" t="n"/>
      <c r="C67" s="30" t="n"/>
      <c r="D67" s="32" t="n"/>
      <c r="E67" s="30" t="n"/>
      <c r="F67" s="30" t="n"/>
      <c r="G67" s="20">
        <f>IF(OR(B67="",D67="",F67="Done"),"",D67-TODAY())</f>
        <v/>
      </c>
      <c r="I67" s="36">
        <f>IF(OR(B67="",D67="",F67="Done"),"",D67+ROW()/100000)</f>
        <v/>
      </c>
    </row>
    <row r="68">
      <c r="B68" s="30" t="n"/>
      <c r="C68" s="30" t="n"/>
      <c r="D68" s="32" t="n"/>
      <c r="E68" s="30" t="n"/>
      <c r="F68" s="30" t="n"/>
      <c r="G68" s="20">
        <f>IF(OR(B68="",D68="",F68="Done"),"",D68-TODAY())</f>
        <v/>
      </c>
      <c r="I68" s="36">
        <f>IF(OR(B68="",D68="",F68="Done"),"",D68+ROW()/100000)</f>
        <v/>
      </c>
    </row>
    <row r="69">
      <c r="B69" s="30" t="n"/>
      <c r="C69" s="30" t="n"/>
      <c r="D69" s="32" t="n"/>
      <c r="E69" s="30" t="n"/>
      <c r="F69" s="30" t="n"/>
      <c r="G69" s="20">
        <f>IF(OR(B69="",D69="",F69="Done"),"",D69-TODAY())</f>
        <v/>
      </c>
      <c r="I69" s="36">
        <f>IF(OR(B69="",D69="",F69="Done"),"",D69+ROW()/100000)</f>
        <v/>
      </c>
    </row>
    <row r="70">
      <c r="B70" s="30" t="n"/>
      <c r="C70" s="30" t="n"/>
      <c r="D70" s="32" t="n"/>
      <c r="E70" s="30" t="n"/>
      <c r="F70" s="30" t="n"/>
      <c r="G70" s="20">
        <f>IF(OR(B70="",D70="",F70="Done"),"",D70-TODAY())</f>
        <v/>
      </c>
      <c r="I70" s="36">
        <f>IF(OR(B70="",D70="",F70="Done"),"",D70+ROW()/100000)</f>
        <v/>
      </c>
    </row>
    <row r="71">
      <c r="B71" s="30" t="n"/>
      <c r="C71" s="30" t="n"/>
      <c r="D71" s="32" t="n"/>
      <c r="E71" s="30" t="n"/>
      <c r="F71" s="30" t="n"/>
      <c r="G71" s="20">
        <f>IF(OR(B71="",D71="",F71="Done"),"",D71-TODAY())</f>
        <v/>
      </c>
      <c r="I71" s="36">
        <f>IF(OR(B71="",D71="",F71="Done"),"",D71+ROW()/100000)</f>
        <v/>
      </c>
    </row>
    <row r="72">
      <c r="B72" s="30" t="n"/>
      <c r="C72" s="30" t="n"/>
      <c r="D72" s="32" t="n"/>
      <c r="E72" s="30" t="n"/>
      <c r="F72" s="30" t="n"/>
      <c r="G72" s="20">
        <f>IF(OR(B72="",D72="",F72="Done"),"",D72-TODAY())</f>
        <v/>
      </c>
      <c r="I72" s="36">
        <f>IF(OR(B72="",D72="",F72="Done"),"",D72+ROW()/100000)</f>
        <v/>
      </c>
    </row>
    <row r="73">
      <c r="B73" s="30" t="n"/>
      <c r="C73" s="30" t="n"/>
      <c r="D73" s="32" t="n"/>
      <c r="E73" s="30" t="n"/>
      <c r="F73" s="30" t="n"/>
      <c r="G73" s="20">
        <f>IF(OR(B73="",D73="",F73="Done"),"",D73-TODAY())</f>
        <v/>
      </c>
      <c r="I73" s="36">
        <f>IF(OR(B73="",D73="",F73="Done"),"",D73+ROW()/100000)</f>
        <v/>
      </c>
    </row>
    <row r="74">
      <c r="B74" s="30" t="n"/>
      <c r="C74" s="30" t="n"/>
      <c r="D74" s="32" t="n"/>
      <c r="E74" s="30" t="n"/>
      <c r="F74" s="30" t="n"/>
      <c r="G74" s="20">
        <f>IF(OR(B74="",D74="",F74="Done"),"",D74-TODAY())</f>
        <v/>
      </c>
      <c r="I74" s="36">
        <f>IF(OR(B74="",D74="",F74="Done"),"",D74+ROW()/100000)</f>
        <v/>
      </c>
    </row>
    <row r="75">
      <c r="B75" s="30" t="n"/>
      <c r="C75" s="30" t="n"/>
      <c r="D75" s="32" t="n"/>
      <c r="E75" s="30" t="n"/>
      <c r="F75" s="30" t="n"/>
      <c r="G75" s="20">
        <f>IF(OR(B75="",D75="",F75="Done"),"",D75-TODAY())</f>
        <v/>
      </c>
      <c r="I75" s="36">
        <f>IF(OR(B75="",D75="",F75="Done"),"",D75+ROW()/100000)</f>
        <v/>
      </c>
    </row>
    <row r="76">
      <c r="B76" s="30" t="n"/>
      <c r="C76" s="30" t="n"/>
      <c r="D76" s="32" t="n"/>
      <c r="E76" s="30" t="n"/>
      <c r="F76" s="30" t="n"/>
      <c r="G76" s="20">
        <f>IF(OR(B76="",D76="",F76="Done"),"",D76-TODAY())</f>
        <v/>
      </c>
      <c r="I76" s="36">
        <f>IF(OR(B76="",D76="",F76="Done"),"",D76+ROW()/100000)</f>
        <v/>
      </c>
    </row>
    <row r="77">
      <c r="B77" s="30" t="n"/>
      <c r="C77" s="30" t="n"/>
      <c r="D77" s="32" t="n"/>
      <c r="E77" s="30" t="n"/>
      <c r="F77" s="30" t="n"/>
      <c r="G77" s="20">
        <f>IF(OR(B77="",D77="",F77="Done"),"",D77-TODAY())</f>
        <v/>
      </c>
      <c r="I77" s="36">
        <f>IF(OR(B77="",D77="",F77="Done"),"",D77+ROW()/100000)</f>
        <v/>
      </c>
    </row>
    <row r="78">
      <c r="B78" s="30" t="n"/>
      <c r="C78" s="30" t="n"/>
      <c r="D78" s="32" t="n"/>
      <c r="E78" s="30" t="n"/>
      <c r="F78" s="30" t="n"/>
      <c r="G78" s="20">
        <f>IF(OR(B78="",D78="",F78="Done"),"",D78-TODAY())</f>
        <v/>
      </c>
      <c r="I78" s="36">
        <f>IF(OR(B78="",D78="",F78="Done"),"",D78+ROW()/100000)</f>
        <v/>
      </c>
    </row>
    <row r="79">
      <c r="B79" s="30" t="n"/>
      <c r="C79" s="30" t="n"/>
      <c r="D79" s="32" t="n"/>
      <c r="E79" s="30" t="n"/>
      <c r="F79" s="30" t="n"/>
      <c r="G79" s="20">
        <f>IF(OR(B79="",D79="",F79="Done"),"",D79-TODAY())</f>
        <v/>
      </c>
      <c r="I79" s="36">
        <f>IF(OR(B79="",D79="",F79="Done"),"",D79+ROW()/100000)</f>
        <v/>
      </c>
    </row>
    <row r="80">
      <c r="B80" s="30" t="n"/>
      <c r="C80" s="30" t="n"/>
      <c r="D80" s="32" t="n"/>
      <c r="E80" s="30" t="n"/>
      <c r="F80" s="30" t="n"/>
      <c r="G80" s="20">
        <f>IF(OR(B80="",D80="",F80="Done"),"",D80-TODAY())</f>
        <v/>
      </c>
      <c r="I80" s="36">
        <f>IF(OR(B80="",D80="",F80="Done"),"",D80+ROW()/100000)</f>
        <v/>
      </c>
    </row>
    <row r="81">
      <c r="B81" s="30" t="n"/>
      <c r="C81" s="30" t="n"/>
      <c r="D81" s="32" t="n"/>
      <c r="E81" s="30" t="n"/>
      <c r="F81" s="30" t="n"/>
      <c r="G81" s="20">
        <f>IF(OR(B81="",D81="",F81="Done"),"",D81-TODAY())</f>
        <v/>
      </c>
      <c r="I81" s="36">
        <f>IF(OR(B81="",D81="",F81="Done"),"",D81+ROW()/100000)</f>
        <v/>
      </c>
    </row>
    <row r="82">
      <c r="B82" s="30" t="n"/>
      <c r="C82" s="30" t="n"/>
      <c r="D82" s="32" t="n"/>
      <c r="E82" s="30" t="n"/>
      <c r="F82" s="30" t="n"/>
      <c r="G82" s="20">
        <f>IF(OR(B82="",D82="",F82="Done"),"",D82-TODAY())</f>
        <v/>
      </c>
      <c r="I82" s="36">
        <f>IF(OR(B82="",D82="",F82="Done"),"",D82+ROW()/100000)</f>
        <v/>
      </c>
    </row>
    <row r="83">
      <c r="B83" s="30" t="n"/>
      <c r="C83" s="30" t="n"/>
      <c r="D83" s="32" t="n"/>
      <c r="E83" s="30" t="n"/>
      <c r="F83" s="30" t="n"/>
      <c r="G83" s="20">
        <f>IF(OR(B83="",D83="",F83="Done"),"",D83-TODAY())</f>
        <v/>
      </c>
      <c r="I83" s="36">
        <f>IF(OR(B83="",D83="",F83="Done"),"",D83+ROW()/100000)</f>
        <v/>
      </c>
    </row>
    <row r="84">
      <c r="B84" s="30" t="n"/>
      <c r="C84" s="30" t="n"/>
      <c r="D84" s="32" t="n"/>
      <c r="E84" s="30" t="n"/>
      <c r="F84" s="30" t="n"/>
      <c r="G84" s="20">
        <f>IF(OR(B84="",D84="",F84="Done"),"",D84-TODAY())</f>
        <v/>
      </c>
      <c r="I84" s="36">
        <f>IF(OR(B84="",D84="",F84="Done"),"",D84+ROW()/100000)</f>
        <v/>
      </c>
    </row>
    <row r="85">
      <c r="B85" s="30" t="n"/>
      <c r="C85" s="30" t="n"/>
      <c r="D85" s="32" t="n"/>
      <c r="E85" s="30" t="n"/>
      <c r="F85" s="30" t="n"/>
      <c r="G85" s="20">
        <f>IF(OR(B85="",D85="",F85="Done"),"",D85-TODAY())</f>
        <v/>
      </c>
      <c r="I85" s="36">
        <f>IF(OR(B85="",D85="",F85="Done"),"",D85+ROW()/100000)</f>
        <v/>
      </c>
    </row>
    <row r="86">
      <c r="B86" s="30" t="n"/>
      <c r="C86" s="30" t="n"/>
      <c r="D86" s="32" t="n"/>
      <c r="E86" s="30" t="n"/>
      <c r="F86" s="30" t="n"/>
      <c r="G86" s="20">
        <f>IF(OR(B86="",D86="",F86="Done"),"",D86-TODAY())</f>
        <v/>
      </c>
      <c r="I86" s="36">
        <f>IF(OR(B86="",D86="",F86="Done"),"",D86+ROW()/100000)</f>
        <v/>
      </c>
    </row>
    <row r="87">
      <c r="B87" s="30" t="n"/>
      <c r="C87" s="30" t="n"/>
      <c r="D87" s="32" t="n"/>
      <c r="E87" s="30" t="n"/>
      <c r="F87" s="30" t="n"/>
      <c r="G87" s="20">
        <f>IF(OR(B87="",D87="",F87="Done"),"",D87-TODAY())</f>
        <v/>
      </c>
      <c r="I87" s="36">
        <f>IF(OR(B87="",D87="",F87="Done"),"",D87+ROW()/100000)</f>
        <v/>
      </c>
    </row>
    <row r="88">
      <c r="B88" s="30" t="n"/>
      <c r="C88" s="30" t="n"/>
      <c r="D88" s="32" t="n"/>
      <c r="E88" s="30" t="n"/>
      <c r="F88" s="30" t="n"/>
      <c r="G88" s="20">
        <f>IF(OR(B88="",D88="",F88="Done"),"",D88-TODAY())</f>
        <v/>
      </c>
      <c r="I88" s="36">
        <f>IF(OR(B88="",D88="",F88="Done"),"",D88+ROW()/100000)</f>
        <v/>
      </c>
    </row>
    <row r="89">
      <c r="B89" s="30" t="n"/>
      <c r="C89" s="30" t="n"/>
      <c r="D89" s="32" t="n"/>
      <c r="E89" s="30" t="n"/>
      <c r="F89" s="30" t="n"/>
      <c r="G89" s="20">
        <f>IF(OR(B89="",D89="",F89="Done"),"",D89-TODAY())</f>
        <v/>
      </c>
      <c r="I89" s="36">
        <f>IF(OR(B89="",D89="",F89="Done"),"",D89+ROW()/100000)</f>
        <v/>
      </c>
    </row>
    <row r="90">
      <c r="B90" s="30" t="n"/>
      <c r="C90" s="30" t="n"/>
      <c r="D90" s="32" t="n"/>
      <c r="E90" s="30" t="n"/>
      <c r="F90" s="30" t="n"/>
      <c r="G90" s="20">
        <f>IF(OR(B90="",D90="",F90="Done"),"",D90-TODAY())</f>
        <v/>
      </c>
      <c r="I90" s="36">
        <f>IF(OR(B90="",D90="",F90="Done"),"",D90+ROW()/100000)</f>
        <v/>
      </c>
    </row>
    <row r="91">
      <c r="B91" s="30" t="n"/>
      <c r="C91" s="30" t="n"/>
      <c r="D91" s="32" t="n"/>
      <c r="E91" s="30" t="n"/>
      <c r="F91" s="30" t="n"/>
      <c r="G91" s="20">
        <f>IF(OR(B91="",D91="",F91="Done"),"",D91-TODAY())</f>
        <v/>
      </c>
      <c r="I91" s="36">
        <f>IF(OR(B91="",D91="",F91="Done"),"",D91+ROW()/100000)</f>
        <v/>
      </c>
    </row>
    <row r="92">
      <c r="B92" s="30" t="n"/>
      <c r="C92" s="30" t="n"/>
      <c r="D92" s="32" t="n"/>
      <c r="E92" s="30" t="n"/>
      <c r="F92" s="30" t="n"/>
      <c r="G92" s="20">
        <f>IF(OR(B92="",D92="",F92="Done"),"",D92-TODAY())</f>
        <v/>
      </c>
      <c r="I92" s="36">
        <f>IF(OR(B92="",D92="",F92="Done"),"",D92+ROW()/100000)</f>
        <v/>
      </c>
    </row>
    <row r="93">
      <c r="B93" s="30" t="n"/>
      <c r="C93" s="30" t="n"/>
      <c r="D93" s="32" t="n"/>
      <c r="E93" s="30" t="n"/>
      <c r="F93" s="30" t="n"/>
      <c r="G93" s="20">
        <f>IF(OR(B93="",D93="",F93="Done"),"",D93-TODAY())</f>
        <v/>
      </c>
      <c r="I93" s="36">
        <f>IF(OR(B93="",D93="",F93="Done"),"",D93+ROW()/100000)</f>
        <v/>
      </c>
    </row>
    <row r="94">
      <c r="B94" s="30" t="n"/>
      <c r="C94" s="30" t="n"/>
      <c r="D94" s="32" t="n"/>
      <c r="E94" s="30" t="n"/>
      <c r="F94" s="30" t="n"/>
      <c r="G94" s="20">
        <f>IF(OR(B94="",D94="",F94="Done"),"",D94-TODAY())</f>
        <v/>
      </c>
      <c r="I94" s="36">
        <f>IF(OR(B94="",D94="",F94="Done"),"",D94+ROW()/100000)</f>
        <v/>
      </c>
    </row>
    <row r="95">
      <c r="B95" s="30" t="n"/>
      <c r="C95" s="30" t="n"/>
      <c r="D95" s="32" t="n"/>
      <c r="E95" s="30" t="n"/>
      <c r="F95" s="30" t="n"/>
      <c r="G95" s="20">
        <f>IF(OR(B95="",D95="",F95="Done"),"",D95-TODAY())</f>
        <v/>
      </c>
      <c r="I95" s="36">
        <f>IF(OR(B95="",D95="",F95="Done"),"",D95+ROW()/100000)</f>
        <v/>
      </c>
    </row>
    <row r="96">
      <c r="B96" s="30" t="n"/>
      <c r="C96" s="30" t="n"/>
      <c r="D96" s="32" t="n"/>
      <c r="E96" s="30" t="n"/>
      <c r="F96" s="30" t="n"/>
      <c r="G96" s="20">
        <f>IF(OR(B96="",D96="",F96="Done"),"",D96-TODAY())</f>
        <v/>
      </c>
      <c r="I96" s="36">
        <f>IF(OR(B96="",D96="",F96="Done"),"",D96+ROW()/100000)</f>
        <v/>
      </c>
    </row>
    <row r="97">
      <c r="B97" s="30" t="n"/>
      <c r="C97" s="30" t="n"/>
      <c r="D97" s="32" t="n"/>
      <c r="E97" s="30" t="n"/>
      <c r="F97" s="30" t="n"/>
      <c r="G97" s="20">
        <f>IF(OR(B97="",D97="",F97="Done"),"",D97-TODAY())</f>
        <v/>
      </c>
      <c r="I97" s="36">
        <f>IF(OR(B97="",D97="",F97="Done"),"",D97+ROW()/100000)</f>
        <v/>
      </c>
    </row>
    <row r="98">
      <c r="B98" s="30" t="n"/>
      <c r="C98" s="30" t="n"/>
      <c r="D98" s="32" t="n"/>
      <c r="E98" s="30" t="n"/>
      <c r="F98" s="30" t="n"/>
      <c r="G98" s="20">
        <f>IF(OR(B98="",D98="",F98="Done"),"",D98-TODAY())</f>
        <v/>
      </c>
      <c r="I98" s="36">
        <f>IF(OR(B98="",D98="",F98="Done"),"",D98+ROW()/100000)</f>
        <v/>
      </c>
    </row>
    <row r="99">
      <c r="B99" s="30" t="n"/>
      <c r="C99" s="30" t="n"/>
      <c r="D99" s="32" t="n"/>
      <c r="E99" s="30" t="n"/>
      <c r="F99" s="30" t="n"/>
      <c r="G99" s="20">
        <f>IF(OR(B99="",D99="",F99="Done"),"",D99-TODAY())</f>
        <v/>
      </c>
      <c r="I99" s="36">
        <f>IF(OR(B99="",D99="",F99="Done"),"",D99+ROW()/100000)</f>
        <v/>
      </c>
    </row>
    <row r="100">
      <c r="B100" s="30" t="n"/>
      <c r="C100" s="30" t="n"/>
      <c r="D100" s="32" t="n"/>
      <c r="E100" s="30" t="n"/>
      <c r="F100" s="30" t="n"/>
      <c r="G100" s="20">
        <f>IF(OR(B100="",D100="",F100="Done"),"",D100-TODAY())</f>
        <v/>
      </c>
      <c r="I100" s="36">
        <f>IF(OR(B100="",D100="",F100="Done"),"",D100+ROW()/100000)</f>
        <v/>
      </c>
    </row>
    <row r="101">
      <c r="B101" s="30" t="n"/>
      <c r="C101" s="30" t="n"/>
      <c r="D101" s="32" t="n"/>
      <c r="E101" s="30" t="n"/>
      <c r="F101" s="30" t="n"/>
      <c r="G101" s="20">
        <f>IF(OR(B101="",D101="",F101="Done"),"",D101-TODAY())</f>
        <v/>
      </c>
      <c r="I101" s="36">
        <f>IF(OR(B101="",D101="",F101="Done"),"",D101+ROW()/100000)</f>
        <v/>
      </c>
    </row>
    <row r="102">
      <c r="B102" s="30" t="n"/>
      <c r="C102" s="30" t="n"/>
      <c r="D102" s="32" t="n"/>
      <c r="E102" s="30" t="n"/>
      <c r="F102" s="30" t="n"/>
      <c r="G102" s="20">
        <f>IF(OR(B102="",D102="",F102="Done"),"",D102-TODAY())</f>
        <v/>
      </c>
      <c r="I102" s="36">
        <f>IF(OR(B102="",D102="",F102="Done"),"",D102+ROW()/100000)</f>
        <v/>
      </c>
    </row>
    <row r="103">
      <c r="B103" s="30" t="n"/>
      <c r="C103" s="30" t="n"/>
      <c r="D103" s="32" t="n"/>
      <c r="E103" s="30" t="n"/>
      <c r="F103" s="30" t="n"/>
      <c r="G103" s="20">
        <f>IF(OR(B103="",D103="",F103="Done"),"",D103-TODAY())</f>
        <v/>
      </c>
      <c r="I103" s="36">
        <f>IF(OR(B103="",D103="",F103="Done"),"",D103+ROW()/100000)</f>
        <v/>
      </c>
    </row>
    <row r="104">
      <c r="B104" s="30" t="n"/>
      <c r="C104" s="30" t="n"/>
      <c r="D104" s="32" t="n"/>
      <c r="E104" s="30" t="n"/>
      <c r="F104" s="30" t="n"/>
      <c r="G104" s="20">
        <f>IF(OR(B104="",D104="",F104="Done"),"",D104-TODAY())</f>
        <v/>
      </c>
      <c r="I104" s="36">
        <f>IF(OR(B104="",D104="",F104="Done"),"",D104+ROW()/100000)</f>
        <v/>
      </c>
    </row>
    <row r="105">
      <c r="B105" s="30" t="n"/>
      <c r="C105" s="30" t="n"/>
      <c r="D105" s="32" t="n"/>
      <c r="E105" s="30" t="n"/>
      <c r="F105" s="30" t="n"/>
      <c r="G105" s="20">
        <f>IF(OR(B105="",D105="",F105="Done"),"",D105-TODAY())</f>
        <v/>
      </c>
      <c r="I105" s="36">
        <f>IF(OR(B105="",D105="",F105="Done"),"",D105+ROW()/100000)</f>
        <v/>
      </c>
    </row>
    <row r="106">
      <c r="B106" s="30" t="n"/>
      <c r="C106" s="30" t="n"/>
      <c r="D106" s="32" t="n"/>
      <c r="E106" s="30" t="n"/>
      <c r="F106" s="30" t="n"/>
      <c r="G106" s="20">
        <f>IF(OR(B106="",D106="",F106="Done"),"",D106-TODAY())</f>
        <v/>
      </c>
      <c r="I106" s="36">
        <f>IF(OR(B106="",D106="",F106="Done"),"",D106+ROW()/100000)</f>
        <v/>
      </c>
    </row>
  </sheetData>
  <conditionalFormatting sqref="B7:G106">
    <cfRule type="expression" priority="1" dxfId="1">
      <formula>$F7="Done"</formula>
    </cfRule>
  </conditionalFormatting>
  <conditionalFormatting sqref="G7:G106">
    <cfRule type="expression" priority="2" dxfId="0">
      <formula>AND($G7&lt;&gt;"",$G7&lt;0)</formula>
    </cfRule>
  </conditionalFormatting>
  <conditionalFormatting sqref="E7:E106">
    <cfRule type="cellIs" priority="3" operator="equal" dxfId="2">
      <formula>"High"</formula>
    </cfRule>
  </conditionalFormatting>
  <dataValidations count="3">
    <dataValidation sqref="C7:C106" showDropDown="0" showInputMessage="0" showErrorMessage="0" allowBlank="1" type="list">
      <formula1>"Home,Work,Money,Health,Family,Errands,Personal"</formula1>
    </dataValidation>
    <dataValidation sqref="E7:E106" showDropDown="0" showInputMessage="0" showErrorMessage="0" allowBlank="1" type="list">
      <formula1>"High,Medium,Low"</formula1>
    </dataValidation>
    <dataValidation sqref="F7:F106" showDropDown="0" showInputMessage="0" showErrorMessage="0" allowBlank="1" type="list">
      <formula1>"To do,In progress,Done"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AK26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7" customWidth="1" min="34" max="34"/>
    <col width="7" customWidth="1" min="35" max="35"/>
    <col width="7" customWidth="1" min="36" max="36"/>
    <col width="3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30" customHeight="1">
      <c r="A2" s="1" t="n"/>
      <c r="B2" s="2" t="inlineStr">
        <is>
          <t>Habit Tracker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</row>
    <row r="3">
      <c r="A3" s="1" t="n"/>
      <c r="B3" s="3" t="inlineStr">
        <is>
          <t>Type x on each day you did the habit. Month shown = Planning month in Setup.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</row>
    <row r="4" ht="8" customHeight="1"/>
    <row r="6" ht="28" customHeight="1">
      <c r="B6" s="19" t="inlineStr">
        <is>
          <t>Habit</t>
        </is>
      </c>
      <c r="C6" s="47">
        <f>IF(1&gt;DAY(EOMONTH(PlanMonth,0)),"",1)</f>
        <v/>
      </c>
      <c r="D6" s="47">
        <f>IF(2&gt;DAY(EOMONTH(PlanMonth,0)),"",2)</f>
        <v/>
      </c>
      <c r="E6" s="47">
        <f>IF(3&gt;DAY(EOMONTH(PlanMonth,0)),"",3)</f>
        <v/>
      </c>
      <c r="F6" s="47">
        <f>IF(4&gt;DAY(EOMONTH(PlanMonth,0)),"",4)</f>
        <v/>
      </c>
      <c r="G6" s="47">
        <f>IF(5&gt;DAY(EOMONTH(PlanMonth,0)),"",5)</f>
        <v/>
      </c>
      <c r="H6" s="47">
        <f>IF(6&gt;DAY(EOMONTH(PlanMonth,0)),"",6)</f>
        <v/>
      </c>
      <c r="I6" s="47">
        <f>IF(7&gt;DAY(EOMONTH(PlanMonth,0)),"",7)</f>
        <v/>
      </c>
      <c r="J6" s="47">
        <f>IF(8&gt;DAY(EOMONTH(PlanMonth,0)),"",8)</f>
        <v/>
      </c>
      <c r="K6" s="47">
        <f>IF(9&gt;DAY(EOMONTH(PlanMonth,0)),"",9)</f>
        <v/>
      </c>
      <c r="L6" s="47">
        <f>IF(10&gt;DAY(EOMONTH(PlanMonth,0)),"",10)</f>
        <v/>
      </c>
      <c r="M6" s="47">
        <f>IF(11&gt;DAY(EOMONTH(PlanMonth,0)),"",11)</f>
        <v/>
      </c>
      <c r="N6" s="47">
        <f>IF(12&gt;DAY(EOMONTH(PlanMonth,0)),"",12)</f>
        <v/>
      </c>
      <c r="O6" s="47">
        <f>IF(13&gt;DAY(EOMONTH(PlanMonth,0)),"",13)</f>
        <v/>
      </c>
      <c r="P6" s="47">
        <f>IF(14&gt;DAY(EOMONTH(PlanMonth,0)),"",14)</f>
        <v/>
      </c>
      <c r="Q6" s="47">
        <f>IF(15&gt;DAY(EOMONTH(PlanMonth,0)),"",15)</f>
        <v/>
      </c>
      <c r="R6" s="47">
        <f>IF(16&gt;DAY(EOMONTH(PlanMonth,0)),"",16)</f>
        <v/>
      </c>
      <c r="S6" s="47">
        <f>IF(17&gt;DAY(EOMONTH(PlanMonth,0)),"",17)</f>
        <v/>
      </c>
      <c r="T6" s="47">
        <f>IF(18&gt;DAY(EOMONTH(PlanMonth,0)),"",18)</f>
        <v/>
      </c>
      <c r="U6" s="47">
        <f>IF(19&gt;DAY(EOMONTH(PlanMonth,0)),"",19)</f>
        <v/>
      </c>
      <c r="V6" s="47">
        <f>IF(20&gt;DAY(EOMONTH(PlanMonth,0)),"",20)</f>
        <v/>
      </c>
      <c r="W6" s="47">
        <f>IF(21&gt;DAY(EOMONTH(PlanMonth,0)),"",21)</f>
        <v/>
      </c>
      <c r="X6" s="47">
        <f>IF(22&gt;DAY(EOMONTH(PlanMonth,0)),"",22)</f>
        <v/>
      </c>
      <c r="Y6" s="47">
        <f>IF(23&gt;DAY(EOMONTH(PlanMonth,0)),"",23)</f>
        <v/>
      </c>
      <c r="Z6" s="47">
        <f>IF(24&gt;DAY(EOMONTH(PlanMonth,0)),"",24)</f>
        <v/>
      </c>
      <c r="AA6" s="47">
        <f>IF(25&gt;DAY(EOMONTH(PlanMonth,0)),"",25)</f>
        <v/>
      </c>
      <c r="AB6" s="47">
        <f>IF(26&gt;DAY(EOMONTH(PlanMonth,0)),"",26)</f>
        <v/>
      </c>
      <c r="AC6" s="47">
        <f>IF(27&gt;DAY(EOMONTH(PlanMonth,0)),"",27)</f>
        <v/>
      </c>
      <c r="AD6" s="47">
        <f>IF(28&gt;DAY(EOMONTH(PlanMonth,0)),"",28)</f>
        <v/>
      </c>
      <c r="AE6" s="47">
        <f>IF(29&gt;DAY(EOMONTH(PlanMonth,0)),"",29)</f>
        <v/>
      </c>
      <c r="AF6" s="47">
        <f>IF(30&gt;DAY(EOMONTH(PlanMonth,0)),"",30)</f>
        <v/>
      </c>
      <c r="AG6" s="47">
        <f>IF(31&gt;DAY(EOMONTH(PlanMonth,0)),"",31)</f>
        <v/>
      </c>
      <c r="AH6" s="19" t="inlineStr">
        <is>
          <t>Done</t>
        </is>
      </c>
      <c r="AI6" s="19" t="inlineStr">
        <is>
          <t>Score</t>
        </is>
      </c>
      <c r="AJ6" s="19" t="inlineStr">
        <is>
          <t>Streak</t>
        </is>
      </c>
    </row>
    <row r="7">
      <c r="B7" s="30" t="inlineStr">
        <is>
          <t>Drink 2 L of water</t>
        </is>
      </c>
      <c r="C7" s="48" t="inlineStr">
        <is>
          <t>x</t>
        </is>
      </c>
      <c r="D7" s="48" t="inlineStr">
        <is>
          <t>x</t>
        </is>
      </c>
      <c r="E7" s="48" t="inlineStr">
        <is>
          <t>x</t>
        </is>
      </c>
      <c r="F7" s="48" t="inlineStr">
        <is>
          <t>x</t>
        </is>
      </c>
      <c r="G7" s="48" t="inlineStr">
        <is>
          <t>x</t>
        </is>
      </c>
      <c r="H7" s="48" t="inlineStr">
        <is>
          <t>x</t>
        </is>
      </c>
      <c r="I7" s="48" t="inlineStr">
        <is>
          <t>x</t>
        </is>
      </c>
      <c r="J7" s="48" t="inlineStr">
        <is>
          <t>x</t>
        </is>
      </c>
      <c r="K7" s="48" t="inlineStr">
        <is>
          <t>x</t>
        </is>
      </c>
      <c r="L7" s="48" t="inlineStr">
        <is>
          <t>x</t>
        </is>
      </c>
      <c r="M7" s="48" t="inlineStr">
        <is>
          <t>x</t>
        </is>
      </c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20">
        <f>IF(B7="","",COUNTIF(C7:AG7,"x"))</f>
        <v/>
      </c>
      <c r="AI7" s="22">
        <f>IF(B7="","",AH7/MAX(1,IF(MONTH(TODAY())=MONTH(PlanMonth),DAY(TODAY()),DAY(EOMONTH(PlanMonth,0)))))</f>
        <v/>
      </c>
      <c r="AJ7" s="20">
        <f t="array" ref="AJ7">IF(B7="","",IFERROR(IF(MONTH(TODAY())=MONTH(PlanMonth),DAY(TODAY()),DAY(EOMONTH(PlanMonth,0)))-MAX(IF(OFFSET(C7,0,0,1,IF(MONTH(TODAY())=MONTH(PlanMonth),DAY(TODAY()),DAY(EOMONTH(PlanMonth,0))))&lt;&gt;"x",COLUMN(OFFSET(C7,0,0,1,IF(MONTH(TODAY())=MONTH(PlanMonth),DAY(TODAY()),DAY(EOMONTH(PlanMonth,0)))))-COLUMN(C7)+1,0)),0))</f>
        <v/>
      </c>
    </row>
    <row r="8">
      <c r="B8" s="30" t="inlineStr">
        <is>
          <t>Walk 8,000 steps</t>
        </is>
      </c>
      <c r="C8" s="48" t="inlineStr">
        <is>
          <t>x</t>
        </is>
      </c>
      <c r="D8" s="48" t="inlineStr">
        <is>
          <t>x</t>
        </is>
      </c>
      <c r="E8" s="48" t="inlineStr">
        <is>
          <t>x</t>
        </is>
      </c>
      <c r="F8" s="48" t="inlineStr">
        <is>
          <t>x</t>
        </is>
      </c>
      <c r="G8" s="48" t="inlineStr">
        <is>
          <t>x</t>
        </is>
      </c>
      <c r="H8" s="48" t="inlineStr">
        <is>
          <t>x</t>
        </is>
      </c>
      <c r="I8" s="48" t="inlineStr">
        <is>
          <t>x</t>
        </is>
      </c>
      <c r="J8" s="48" t="inlineStr">
        <is>
          <t>x</t>
        </is>
      </c>
      <c r="K8" s="48" t="n"/>
      <c r="L8" s="48" t="inlineStr">
        <is>
          <t>x</t>
        </is>
      </c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20">
        <f>IF(B8="","",COUNTIF(C8:AG8,"x"))</f>
        <v/>
      </c>
      <c r="AI8" s="22">
        <f>IF(B8="","",AH8/MAX(1,IF(MONTH(TODAY())=MONTH(PlanMonth),DAY(TODAY()),DAY(EOMONTH(PlanMonth,0)))))</f>
        <v/>
      </c>
      <c r="AJ8" s="20">
        <f t="array" ref="AJ8">IF(B8="","",IFERROR(IF(MONTH(TODAY())=MONTH(PlanMonth),DAY(TODAY()),DAY(EOMONTH(PlanMonth,0)))-MAX(IF(OFFSET(C8,0,0,1,IF(MONTH(TODAY())=MONTH(PlanMonth),DAY(TODAY()),DAY(EOMONTH(PlanMonth,0))))&lt;&gt;"x",COLUMN(OFFSET(C8,0,0,1,IF(MONTH(TODAY())=MONTH(PlanMonth),DAY(TODAY()),DAY(EOMONTH(PlanMonth,0)))))-COLUMN(C8)+1,0)),0))</f>
        <v/>
      </c>
    </row>
    <row r="9">
      <c r="B9" s="30" t="inlineStr">
        <is>
          <t>Read 20 minutes</t>
        </is>
      </c>
      <c r="C9" s="48" t="inlineStr">
        <is>
          <t>x</t>
        </is>
      </c>
      <c r="D9" s="48" t="inlineStr">
        <is>
          <t>x</t>
        </is>
      </c>
      <c r="E9" s="48" t="inlineStr">
        <is>
          <t>x</t>
        </is>
      </c>
      <c r="F9" s="48" t="n"/>
      <c r="G9" s="48" t="inlineStr">
        <is>
          <t>x</t>
        </is>
      </c>
      <c r="H9" s="48" t="inlineStr">
        <is>
          <t>x</t>
        </is>
      </c>
      <c r="I9" s="48" t="inlineStr">
        <is>
          <t>x</t>
        </is>
      </c>
      <c r="J9" s="48" t="inlineStr">
        <is>
          <t>x</t>
        </is>
      </c>
      <c r="K9" s="48" t="inlineStr">
        <is>
          <t>x</t>
        </is>
      </c>
      <c r="L9" s="48" t="inlineStr">
        <is>
          <t>x</t>
        </is>
      </c>
      <c r="M9" s="48" t="inlineStr">
        <is>
          <t>x</t>
        </is>
      </c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20">
        <f>IF(B9="","",COUNTIF(C9:AG9,"x"))</f>
        <v/>
      </c>
      <c r="AI9" s="22">
        <f>IF(B9="","",AH9/MAX(1,IF(MONTH(TODAY())=MONTH(PlanMonth),DAY(TODAY()),DAY(EOMONTH(PlanMonth,0)))))</f>
        <v/>
      </c>
      <c r="AJ9" s="20">
        <f t="array" ref="AJ9">IF(B9="","",IFERROR(IF(MONTH(TODAY())=MONTH(PlanMonth),DAY(TODAY()),DAY(EOMONTH(PlanMonth,0)))-MAX(IF(OFFSET(C9,0,0,1,IF(MONTH(TODAY())=MONTH(PlanMonth),DAY(TODAY()),DAY(EOMONTH(PlanMonth,0))))&lt;&gt;"x",COLUMN(OFFSET(C9,0,0,1,IF(MONTH(TODAY())=MONTH(PlanMonth),DAY(TODAY()),DAY(EOMONTH(PlanMonth,0)))))-COLUMN(C9)+1,0)),0))</f>
        <v/>
      </c>
    </row>
    <row r="10">
      <c r="B10" s="30" t="inlineStr">
        <is>
          <t>No phone after 22:00</t>
        </is>
      </c>
      <c r="C10" s="48" t="inlineStr">
        <is>
          <t>x</t>
        </is>
      </c>
      <c r="D10" s="48" t="inlineStr">
        <is>
          <t>x</t>
        </is>
      </c>
      <c r="E10" s="48" t="inlineStr">
        <is>
          <t>x</t>
        </is>
      </c>
      <c r="F10" s="48" t="n"/>
      <c r="G10" s="48" t="inlineStr">
        <is>
          <t>x</t>
        </is>
      </c>
      <c r="H10" s="48" t="n"/>
      <c r="I10" s="48" t="inlineStr">
        <is>
          <t>x</t>
        </is>
      </c>
      <c r="J10" s="48" t="inlineStr">
        <is>
          <t>x</t>
        </is>
      </c>
      <c r="K10" s="48" t="n"/>
      <c r="L10" s="48" t="n"/>
      <c r="M10" s="48" t="inlineStr">
        <is>
          <t>x</t>
        </is>
      </c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20">
        <f>IF(B10="","",COUNTIF(C10:AG10,"x"))</f>
        <v/>
      </c>
      <c r="AI10" s="22">
        <f>IF(B10="","",AH10/MAX(1,IF(MONTH(TODAY())=MONTH(PlanMonth),DAY(TODAY()),DAY(EOMONTH(PlanMonth,0)))))</f>
        <v/>
      </c>
      <c r="AJ10" s="20">
        <f t="array" ref="AJ10">IF(B10="","",IFERROR(IF(MONTH(TODAY())=MONTH(PlanMonth),DAY(TODAY()),DAY(EOMONTH(PlanMonth,0)))-MAX(IF(OFFSET(C10,0,0,1,IF(MONTH(TODAY())=MONTH(PlanMonth),DAY(TODAY()),DAY(EOMONTH(PlanMonth,0))))&lt;&gt;"x",COLUMN(OFFSET(C10,0,0,1,IF(MONTH(TODAY())=MONTH(PlanMonth),DAY(TODAY()),DAY(EOMONTH(PlanMonth,0)))))-COLUMN(C10)+1,0)),0))</f>
        <v/>
      </c>
    </row>
    <row r="11">
      <c r="B11" s="30" t="inlineStr">
        <is>
          <t>Stretch / yoga</t>
        </is>
      </c>
      <c r="C11" s="48" t="inlineStr">
        <is>
          <t>x</t>
        </is>
      </c>
      <c r="D11" s="48" t="inlineStr">
        <is>
          <t>x</t>
        </is>
      </c>
      <c r="E11" s="48" t="n"/>
      <c r="F11" s="48" t="inlineStr">
        <is>
          <t>x</t>
        </is>
      </c>
      <c r="G11" s="48" t="inlineStr">
        <is>
          <t>x</t>
        </is>
      </c>
      <c r="H11" s="48" t="inlineStr">
        <is>
          <t>x</t>
        </is>
      </c>
      <c r="I11" s="48" t="inlineStr">
        <is>
          <t>x</t>
        </is>
      </c>
      <c r="J11" s="48" t="inlineStr">
        <is>
          <t>x</t>
        </is>
      </c>
      <c r="K11" s="48" t="n"/>
      <c r="L11" s="48" t="inlineStr">
        <is>
          <t>x</t>
        </is>
      </c>
      <c r="M11" s="48" t="inlineStr">
        <is>
          <t>x</t>
        </is>
      </c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20">
        <f>IF(B11="","",COUNTIF(C11:AG11,"x"))</f>
        <v/>
      </c>
      <c r="AI11" s="22">
        <f>IF(B11="","",AH11/MAX(1,IF(MONTH(TODAY())=MONTH(PlanMonth),DAY(TODAY()),DAY(EOMONTH(PlanMonth,0)))))</f>
        <v/>
      </c>
      <c r="AJ11" s="20">
        <f t="array" ref="AJ11">IF(B11="","",IFERROR(IF(MONTH(TODAY())=MONTH(PlanMonth),DAY(TODAY()),DAY(EOMONTH(PlanMonth,0)))-MAX(IF(OFFSET(C11,0,0,1,IF(MONTH(TODAY())=MONTH(PlanMonth),DAY(TODAY()),DAY(EOMONTH(PlanMonth,0))))&lt;&gt;"x",COLUMN(OFFSET(C11,0,0,1,IF(MONTH(TODAY())=MONTH(PlanMonth),DAY(TODAY()),DAY(EOMONTH(PlanMonth,0)))))-COLUMN(C11)+1,0)),0))</f>
        <v/>
      </c>
    </row>
    <row r="12">
      <c r="B12" s="30" t="inlineStr">
        <is>
          <t>Make the bed</t>
        </is>
      </c>
      <c r="C12" s="48" t="inlineStr">
        <is>
          <t>x</t>
        </is>
      </c>
      <c r="D12" s="48" t="inlineStr">
        <is>
          <t>x</t>
        </is>
      </c>
      <c r="E12" s="48" t="inlineStr">
        <is>
          <t>x</t>
        </is>
      </c>
      <c r="F12" s="48" t="n"/>
      <c r="G12" s="48" t="inlineStr">
        <is>
          <t>x</t>
        </is>
      </c>
      <c r="H12" s="48" t="n"/>
      <c r="I12" s="48" t="inlineStr">
        <is>
          <t>x</t>
        </is>
      </c>
      <c r="J12" s="48" t="inlineStr">
        <is>
          <t>x</t>
        </is>
      </c>
      <c r="K12" s="48" t="inlineStr">
        <is>
          <t>x</t>
        </is>
      </c>
      <c r="L12" s="48" t="inlineStr">
        <is>
          <t>x</t>
        </is>
      </c>
      <c r="M12" s="48" t="inlineStr">
        <is>
          <t>x</t>
        </is>
      </c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20">
        <f>IF(B12="","",COUNTIF(C12:AG12,"x"))</f>
        <v/>
      </c>
      <c r="AI12" s="22">
        <f>IF(B12="","",AH12/MAX(1,IF(MONTH(TODAY())=MONTH(PlanMonth),DAY(TODAY()),DAY(EOMONTH(PlanMonth,0)))))</f>
        <v/>
      </c>
      <c r="AJ12" s="20">
        <f t="array" ref="AJ12">IF(B12="","",IFERROR(IF(MONTH(TODAY())=MONTH(PlanMonth),DAY(TODAY()),DAY(EOMONTH(PlanMonth,0)))-MAX(IF(OFFSET(C12,0,0,1,IF(MONTH(TODAY())=MONTH(PlanMonth),DAY(TODAY()),DAY(EOMONTH(PlanMonth,0))))&lt;&gt;"x",COLUMN(OFFSET(C12,0,0,1,IF(MONTH(TODAY())=MONTH(PlanMonth),DAY(TODAY()),DAY(EOMONTH(PlanMonth,0)))))-COLUMN(C12)+1,0)),0))</f>
        <v/>
      </c>
    </row>
    <row r="13">
      <c r="B13" s="30" t="inlineStr">
        <is>
          <t>Cook at home</t>
        </is>
      </c>
      <c r="C13" s="48" t="n"/>
      <c r="D13" s="48" t="inlineStr">
        <is>
          <t>x</t>
        </is>
      </c>
      <c r="E13" s="48" t="n"/>
      <c r="F13" s="48" t="inlineStr">
        <is>
          <t>x</t>
        </is>
      </c>
      <c r="G13" s="48" t="inlineStr">
        <is>
          <t>x</t>
        </is>
      </c>
      <c r="H13" s="48" t="inlineStr">
        <is>
          <t>x</t>
        </is>
      </c>
      <c r="I13" s="48" t="inlineStr">
        <is>
          <t>x</t>
        </is>
      </c>
      <c r="J13" s="48" t="inlineStr">
        <is>
          <t>x</t>
        </is>
      </c>
      <c r="K13" s="48" t="inlineStr">
        <is>
          <t>x</t>
        </is>
      </c>
      <c r="L13" s="48" t="inlineStr">
        <is>
          <t>x</t>
        </is>
      </c>
      <c r="M13" s="48" t="inlineStr">
        <is>
          <t>x</t>
        </is>
      </c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20">
        <f>IF(B13="","",COUNTIF(C13:AG13,"x"))</f>
        <v/>
      </c>
      <c r="AI13" s="22">
        <f>IF(B13="","",AH13/MAX(1,IF(MONTH(TODAY())=MONTH(PlanMonth),DAY(TODAY()),DAY(EOMONTH(PlanMonth,0)))))</f>
        <v/>
      </c>
      <c r="AJ13" s="20">
        <f t="array" ref="AJ13">IF(B13="","",IFERROR(IF(MONTH(TODAY())=MONTH(PlanMonth),DAY(TODAY()),DAY(EOMONTH(PlanMonth,0)))-MAX(IF(OFFSET(C13,0,0,1,IF(MONTH(TODAY())=MONTH(PlanMonth),DAY(TODAY()),DAY(EOMONTH(PlanMonth,0))))&lt;&gt;"x",COLUMN(OFFSET(C13,0,0,1,IF(MONTH(TODAY())=MONTH(PlanMonth),DAY(TODAY()),DAY(EOMONTH(PlanMonth,0)))))-COLUMN(C13)+1,0)),0))</f>
        <v/>
      </c>
    </row>
    <row r="14">
      <c r="B14" s="30" t="inlineStr">
        <is>
          <t>Journal</t>
        </is>
      </c>
      <c r="C14" s="48" t="n"/>
      <c r="D14" s="48" t="inlineStr">
        <is>
          <t>x</t>
        </is>
      </c>
      <c r="E14" s="48" t="inlineStr">
        <is>
          <t>x</t>
        </is>
      </c>
      <c r="F14" s="48" t="inlineStr">
        <is>
          <t>x</t>
        </is>
      </c>
      <c r="G14" s="48" t="inlineStr">
        <is>
          <t>x</t>
        </is>
      </c>
      <c r="H14" s="48" t="inlineStr">
        <is>
          <t>x</t>
        </is>
      </c>
      <c r="I14" s="48" t="inlineStr">
        <is>
          <t>x</t>
        </is>
      </c>
      <c r="J14" s="48" t="inlineStr">
        <is>
          <t>x</t>
        </is>
      </c>
      <c r="K14" s="48" t="n"/>
      <c r="L14" s="48" t="inlineStr">
        <is>
          <t>x</t>
        </is>
      </c>
      <c r="M14" s="48" t="inlineStr">
        <is>
          <t>x</t>
        </is>
      </c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20">
        <f>IF(B14="","",COUNTIF(C14:AG14,"x"))</f>
        <v/>
      </c>
      <c r="AI14" s="22">
        <f>IF(B14="","",AH14/MAX(1,IF(MONTH(TODAY())=MONTH(PlanMonth),DAY(TODAY()),DAY(EOMONTH(PlanMonth,0)))))</f>
        <v/>
      </c>
      <c r="AJ14" s="20">
        <f t="array" ref="AJ14">IF(B14="","",IFERROR(IF(MONTH(TODAY())=MONTH(PlanMonth),DAY(TODAY()),DAY(EOMONTH(PlanMonth,0)))-MAX(IF(OFFSET(C14,0,0,1,IF(MONTH(TODAY())=MONTH(PlanMonth),DAY(TODAY()),DAY(EOMONTH(PlanMonth,0))))&lt;&gt;"x",COLUMN(OFFSET(C14,0,0,1,IF(MONTH(TODAY())=MONTH(PlanMonth),DAY(TODAY()),DAY(EOMONTH(PlanMonth,0)))))-COLUMN(C14)+1,0)),0))</f>
        <v/>
      </c>
    </row>
    <row r="15">
      <c r="B15" s="30" t="inlineStr">
        <is>
          <t>Take vitamins</t>
        </is>
      </c>
      <c r="C15" s="48" t="inlineStr">
        <is>
          <t>x</t>
        </is>
      </c>
      <c r="D15" s="48" t="inlineStr">
        <is>
          <t>x</t>
        </is>
      </c>
      <c r="E15" s="48" t="inlineStr">
        <is>
          <t>x</t>
        </is>
      </c>
      <c r="F15" s="48" t="inlineStr">
        <is>
          <t>x</t>
        </is>
      </c>
      <c r="G15" s="48" t="inlineStr">
        <is>
          <t>x</t>
        </is>
      </c>
      <c r="H15" s="48" t="n"/>
      <c r="I15" s="48" t="n"/>
      <c r="J15" s="48" t="inlineStr">
        <is>
          <t>x</t>
        </is>
      </c>
      <c r="K15" s="48" t="n"/>
      <c r="L15" s="48" t="inlineStr">
        <is>
          <t>x</t>
        </is>
      </c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20">
        <f>IF(B15="","",COUNTIF(C15:AG15,"x"))</f>
        <v/>
      </c>
      <c r="AI15" s="22">
        <f>IF(B15="","",AH15/MAX(1,IF(MONTH(TODAY())=MONTH(PlanMonth),DAY(TODAY()),DAY(EOMONTH(PlanMonth,0)))))</f>
        <v/>
      </c>
      <c r="AJ15" s="20">
        <f t="array" ref="AJ15">IF(B15="","",IFERROR(IF(MONTH(TODAY())=MONTH(PlanMonth),DAY(TODAY()),DAY(EOMONTH(PlanMonth,0)))-MAX(IF(OFFSET(C15,0,0,1,IF(MONTH(TODAY())=MONTH(PlanMonth),DAY(TODAY()),DAY(EOMONTH(PlanMonth,0))))&lt;&gt;"x",COLUMN(OFFSET(C15,0,0,1,IF(MONTH(TODAY())=MONTH(PlanMonth),DAY(TODAY()),DAY(EOMONTH(PlanMonth,0)))))-COLUMN(C15)+1,0)),0))</f>
        <v/>
      </c>
    </row>
    <row r="16">
      <c r="B16" s="30" t="inlineStr">
        <is>
          <t>Tidy for 10 minutes</t>
        </is>
      </c>
      <c r="C16" s="48" t="n"/>
      <c r="D16" s="48" t="inlineStr">
        <is>
          <t>x</t>
        </is>
      </c>
      <c r="E16" s="48" t="inlineStr">
        <is>
          <t>x</t>
        </is>
      </c>
      <c r="F16" s="48" t="inlineStr">
        <is>
          <t>x</t>
        </is>
      </c>
      <c r="G16" s="48" t="inlineStr">
        <is>
          <t>x</t>
        </is>
      </c>
      <c r="H16" s="48" t="inlineStr">
        <is>
          <t>x</t>
        </is>
      </c>
      <c r="I16" s="48" t="inlineStr">
        <is>
          <t>x</t>
        </is>
      </c>
      <c r="J16" s="48" t="inlineStr">
        <is>
          <t>x</t>
        </is>
      </c>
      <c r="K16" s="48" t="n"/>
      <c r="L16" s="48" t="inlineStr">
        <is>
          <t>x</t>
        </is>
      </c>
      <c r="M16" s="48" t="inlineStr">
        <is>
          <t>x</t>
        </is>
      </c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20">
        <f>IF(B16="","",COUNTIF(C16:AG16,"x"))</f>
        <v/>
      </c>
      <c r="AI16" s="22">
        <f>IF(B16="","",AH16/MAX(1,IF(MONTH(TODAY())=MONTH(PlanMonth),DAY(TODAY()),DAY(EOMONTH(PlanMonth,0)))))</f>
        <v/>
      </c>
      <c r="AJ16" s="20">
        <f t="array" ref="AJ16">IF(B16="","",IFERROR(IF(MONTH(TODAY())=MONTH(PlanMonth),DAY(TODAY()),DAY(EOMONTH(PlanMonth,0)))-MAX(IF(OFFSET(C16,0,0,1,IF(MONTH(TODAY())=MONTH(PlanMonth),DAY(TODAY()),DAY(EOMONTH(PlanMonth,0))))&lt;&gt;"x",COLUMN(OFFSET(C16,0,0,1,IF(MONTH(TODAY())=MONTH(PlanMonth),DAY(TODAY()),DAY(EOMONTH(PlanMonth,0)))))-COLUMN(C16)+1,0)),0))</f>
        <v/>
      </c>
    </row>
    <row r="17">
      <c r="B17" s="30" t="inlineStr">
        <is>
          <t>No spend day</t>
        </is>
      </c>
      <c r="C17" s="48" t="inlineStr">
        <is>
          <t>x</t>
        </is>
      </c>
      <c r="D17" s="48" t="inlineStr">
        <is>
          <t>x</t>
        </is>
      </c>
      <c r="E17" s="48" t="inlineStr">
        <is>
          <t>x</t>
        </is>
      </c>
      <c r="F17" s="48" t="inlineStr">
        <is>
          <t>x</t>
        </is>
      </c>
      <c r="G17" s="48" t="n"/>
      <c r="H17" s="48" t="inlineStr">
        <is>
          <t>x</t>
        </is>
      </c>
      <c r="I17" s="48" t="inlineStr">
        <is>
          <t>x</t>
        </is>
      </c>
      <c r="J17" s="48" t="inlineStr">
        <is>
          <t>x</t>
        </is>
      </c>
      <c r="K17" s="48" t="inlineStr">
        <is>
          <t>x</t>
        </is>
      </c>
      <c r="L17" s="48" t="inlineStr">
        <is>
          <t>x</t>
        </is>
      </c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20">
        <f>IF(B17="","",COUNTIF(C17:AG17,"x"))</f>
        <v/>
      </c>
      <c r="AI17" s="22">
        <f>IF(B17="","",AH17/MAX(1,IF(MONTH(TODAY())=MONTH(PlanMonth),DAY(TODAY()),DAY(EOMONTH(PlanMonth,0)))))</f>
        <v/>
      </c>
      <c r="AJ17" s="20">
        <f t="array" ref="AJ17">IF(B17="","",IFERROR(IF(MONTH(TODAY())=MONTH(PlanMonth),DAY(TODAY()),DAY(EOMONTH(PlanMonth,0)))-MAX(IF(OFFSET(C17,0,0,1,IF(MONTH(TODAY())=MONTH(PlanMonth),DAY(TODAY()),DAY(EOMONTH(PlanMonth,0))))&lt;&gt;"x",COLUMN(OFFSET(C17,0,0,1,IF(MONTH(TODAY())=MONTH(PlanMonth),DAY(TODAY()),DAY(EOMONTH(PlanMonth,0)))))-COLUMN(C17)+1,0)),0))</f>
        <v/>
      </c>
    </row>
    <row r="18">
      <c r="B18" s="30" t="inlineStr">
        <is>
          <t>Sleep by 23:00</t>
        </is>
      </c>
      <c r="C18" s="48" t="inlineStr">
        <is>
          <t>x</t>
        </is>
      </c>
      <c r="D18" s="48" t="inlineStr">
        <is>
          <t>x</t>
        </is>
      </c>
      <c r="E18" s="48" t="inlineStr">
        <is>
          <t>x</t>
        </is>
      </c>
      <c r="F18" s="48" t="inlineStr">
        <is>
          <t>x</t>
        </is>
      </c>
      <c r="G18" s="48" t="n"/>
      <c r="H18" s="48" t="inlineStr">
        <is>
          <t>x</t>
        </is>
      </c>
      <c r="I18" s="48" t="inlineStr">
        <is>
          <t>x</t>
        </is>
      </c>
      <c r="J18" s="48" t="inlineStr">
        <is>
          <t>x</t>
        </is>
      </c>
      <c r="K18" s="48" t="n"/>
      <c r="L18" s="48" t="n"/>
      <c r="M18" s="48" t="inlineStr">
        <is>
          <t>x</t>
        </is>
      </c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20">
        <f>IF(B18="","",COUNTIF(C18:AG18,"x"))</f>
        <v/>
      </c>
      <c r="AI18" s="22">
        <f>IF(B18="","",AH18/MAX(1,IF(MONTH(TODAY())=MONTH(PlanMonth),DAY(TODAY()),DAY(EOMONTH(PlanMonth,0)))))</f>
        <v/>
      </c>
      <c r="AJ18" s="20">
        <f t="array" ref="AJ18">IF(B18="","",IFERROR(IF(MONTH(TODAY())=MONTH(PlanMonth),DAY(TODAY()),DAY(EOMONTH(PlanMonth,0)))-MAX(IF(OFFSET(C18,0,0,1,IF(MONTH(TODAY())=MONTH(PlanMonth),DAY(TODAY()),DAY(EOMONTH(PlanMonth,0))))&lt;&gt;"x",COLUMN(OFFSET(C18,0,0,1,IF(MONTH(TODAY())=MONTH(PlanMonth),DAY(TODAY()),DAY(EOMONTH(PlanMonth,0)))))-COLUMN(C18)+1,0)),0))</f>
        <v/>
      </c>
    </row>
    <row r="19">
      <c r="B19" s="30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20">
        <f>IF(B19="","",COUNTIF(C19:AG19,"x"))</f>
        <v/>
      </c>
      <c r="AI19" s="22">
        <f>IF(B19="","",AH19/MAX(1,IF(MONTH(TODAY())=MONTH(PlanMonth),DAY(TODAY()),DAY(EOMONTH(PlanMonth,0)))))</f>
        <v/>
      </c>
      <c r="AJ19" s="20">
        <f t="array" ref="AJ19">IF(B19="","",IFERROR(IF(MONTH(TODAY())=MONTH(PlanMonth),DAY(TODAY()),DAY(EOMONTH(PlanMonth,0)))-MAX(IF(OFFSET(C19,0,0,1,IF(MONTH(TODAY())=MONTH(PlanMonth),DAY(TODAY()),DAY(EOMONTH(PlanMonth,0))))&lt;&gt;"x",COLUMN(OFFSET(C19,0,0,1,IF(MONTH(TODAY())=MONTH(PlanMonth),DAY(TODAY()),DAY(EOMONTH(PlanMonth,0)))))-COLUMN(C19)+1,0)),0))</f>
        <v/>
      </c>
    </row>
    <row r="20">
      <c r="B20" s="30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20">
        <f>IF(B20="","",COUNTIF(C20:AG20,"x"))</f>
        <v/>
      </c>
      <c r="AI20" s="22">
        <f>IF(B20="","",AH20/MAX(1,IF(MONTH(TODAY())=MONTH(PlanMonth),DAY(TODAY()),DAY(EOMONTH(PlanMonth,0)))))</f>
        <v/>
      </c>
      <c r="AJ20" s="20">
        <f t="array" ref="AJ20">IF(B20="","",IFERROR(IF(MONTH(TODAY())=MONTH(PlanMonth),DAY(TODAY()),DAY(EOMONTH(PlanMonth,0)))-MAX(IF(OFFSET(C20,0,0,1,IF(MONTH(TODAY())=MONTH(PlanMonth),DAY(TODAY()),DAY(EOMONTH(PlanMonth,0))))&lt;&gt;"x",COLUMN(OFFSET(C20,0,0,1,IF(MONTH(TODAY())=MONTH(PlanMonth),DAY(TODAY()),DAY(EOMONTH(PlanMonth,0)))))-COLUMN(C20)+1,0)),0))</f>
        <v/>
      </c>
    </row>
    <row r="21">
      <c r="B21" s="30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20">
        <f>IF(B21="","",COUNTIF(C21:AG21,"x"))</f>
        <v/>
      </c>
      <c r="AI21" s="22">
        <f>IF(B21="","",AH21/MAX(1,IF(MONTH(TODAY())=MONTH(PlanMonth),DAY(TODAY()),DAY(EOMONTH(PlanMonth,0)))))</f>
        <v/>
      </c>
      <c r="AJ21" s="20">
        <f t="array" ref="AJ21">IF(B21="","",IFERROR(IF(MONTH(TODAY())=MONTH(PlanMonth),DAY(TODAY()),DAY(EOMONTH(PlanMonth,0)))-MAX(IF(OFFSET(C21,0,0,1,IF(MONTH(TODAY())=MONTH(PlanMonth),DAY(TODAY()),DAY(EOMONTH(PlanMonth,0))))&lt;&gt;"x",COLUMN(OFFSET(C21,0,0,1,IF(MONTH(TODAY())=MONTH(PlanMonth),DAY(TODAY()),DAY(EOMONTH(PlanMonth,0)))))-COLUMN(C21)+1,0)),0))</f>
        <v/>
      </c>
    </row>
    <row r="22">
      <c r="B22" s="30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20">
        <f>IF(B22="","",COUNTIF(C22:AG22,"x"))</f>
        <v/>
      </c>
      <c r="AI22" s="22">
        <f>IF(B22="","",AH22/MAX(1,IF(MONTH(TODAY())=MONTH(PlanMonth),DAY(TODAY()),DAY(EOMONTH(PlanMonth,0)))))</f>
        <v/>
      </c>
      <c r="AJ22" s="20">
        <f t="array" ref="AJ22">IF(B22="","",IFERROR(IF(MONTH(TODAY())=MONTH(PlanMonth),DAY(TODAY()),DAY(EOMONTH(PlanMonth,0)))-MAX(IF(OFFSET(C22,0,0,1,IF(MONTH(TODAY())=MONTH(PlanMonth),DAY(TODAY()),DAY(EOMONTH(PlanMonth,0))))&lt;&gt;"x",COLUMN(OFFSET(C22,0,0,1,IF(MONTH(TODAY())=MONTH(PlanMonth),DAY(TODAY()),DAY(EOMONTH(PlanMonth,0)))))-COLUMN(C22)+1,0)),0))</f>
        <v/>
      </c>
    </row>
    <row r="23">
      <c r="B23" s="30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20">
        <f>IF(B23="","",COUNTIF(C23:AG23,"x"))</f>
        <v/>
      </c>
      <c r="AI23" s="22">
        <f>IF(B23="","",AH23/MAX(1,IF(MONTH(TODAY())=MONTH(PlanMonth),DAY(TODAY()),DAY(EOMONTH(PlanMonth,0)))))</f>
        <v/>
      </c>
      <c r="AJ23" s="20">
        <f t="array" ref="AJ23">IF(B23="","",IFERROR(IF(MONTH(TODAY())=MONTH(PlanMonth),DAY(TODAY()),DAY(EOMONTH(PlanMonth,0)))-MAX(IF(OFFSET(C23,0,0,1,IF(MONTH(TODAY())=MONTH(PlanMonth),DAY(TODAY()),DAY(EOMONTH(PlanMonth,0))))&lt;&gt;"x",COLUMN(OFFSET(C23,0,0,1,IF(MONTH(TODAY())=MONTH(PlanMonth),DAY(TODAY()),DAY(EOMONTH(PlanMonth,0)))))-COLUMN(C23)+1,0)),0))</f>
        <v/>
      </c>
    </row>
    <row r="24">
      <c r="B24" s="30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20">
        <f>IF(B24="","",COUNTIF(C24:AG24,"x"))</f>
        <v/>
      </c>
      <c r="AI24" s="22">
        <f>IF(B24="","",AH24/MAX(1,IF(MONTH(TODAY())=MONTH(PlanMonth),DAY(TODAY()),DAY(EOMONTH(PlanMonth,0)))))</f>
        <v/>
      </c>
      <c r="AJ24" s="20">
        <f t="array" ref="AJ24">IF(B24="","",IFERROR(IF(MONTH(TODAY())=MONTH(PlanMonth),DAY(TODAY()),DAY(EOMONTH(PlanMonth,0)))-MAX(IF(OFFSET(C24,0,0,1,IF(MONTH(TODAY())=MONTH(PlanMonth),DAY(TODAY()),DAY(EOMONTH(PlanMonth,0))))&lt;&gt;"x",COLUMN(OFFSET(C24,0,0,1,IF(MONTH(TODAY())=MONTH(PlanMonth),DAY(TODAY()),DAY(EOMONTH(PlanMonth,0)))))-COLUMN(C24)+1,0)),0))</f>
        <v/>
      </c>
    </row>
    <row r="25">
      <c r="B25" s="30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20">
        <f>IF(B25="","",COUNTIF(C25:AG25,"x"))</f>
        <v/>
      </c>
      <c r="AI25" s="22">
        <f>IF(B25="","",AH25/MAX(1,IF(MONTH(TODAY())=MONTH(PlanMonth),DAY(TODAY()),DAY(EOMONTH(PlanMonth,0)))))</f>
        <v/>
      </c>
      <c r="AJ25" s="20">
        <f t="array" ref="AJ25">IF(B25="","",IFERROR(IF(MONTH(TODAY())=MONTH(PlanMonth),DAY(TODAY()),DAY(EOMONTH(PlanMonth,0)))-MAX(IF(OFFSET(C25,0,0,1,IF(MONTH(TODAY())=MONTH(PlanMonth),DAY(TODAY()),DAY(EOMONTH(PlanMonth,0))))&lt;&gt;"x",COLUMN(OFFSET(C25,0,0,1,IF(MONTH(TODAY())=MONTH(PlanMonth),DAY(TODAY()),DAY(EOMONTH(PlanMonth,0)))))-COLUMN(C25)+1,0)),0))</f>
        <v/>
      </c>
    </row>
    <row r="26">
      <c r="B26" s="30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20">
        <f>IF(B26="","",COUNTIF(C26:AG26,"x"))</f>
        <v/>
      </c>
      <c r="AI26" s="22">
        <f>IF(B26="","",AH26/MAX(1,IF(MONTH(TODAY())=MONTH(PlanMonth),DAY(TODAY()),DAY(EOMONTH(PlanMonth,0)))))</f>
        <v/>
      </c>
      <c r="AJ26" s="20">
        <f t="array" ref="AJ26">IF(B26="","",IFERROR(IF(MONTH(TODAY())=MONTH(PlanMonth),DAY(TODAY()),DAY(EOMONTH(PlanMonth,0)))-MAX(IF(OFFSET(C26,0,0,1,IF(MONTH(TODAY())=MONTH(PlanMonth),DAY(TODAY()),DAY(EOMONTH(PlanMonth,0))))&lt;&gt;"x",COLUMN(OFFSET(C26,0,0,1,IF(MONTH(TODAY())=MONTH(PlanMonth),DAY(TODAY()),DAY(EOMONTH(PlanMonth,0)))))-COLUMN(C26)+1,0)),0))</f>
        <v/>
      </c>
    </row>
  </sheetData>
  <conditionalFormatting sqref="C7:AG26">
    <cfRule type="cellIs" priority="1" operator="equal" dxfId="3">
      <formula>"x"</formula>
    </cfRule>
  </conditionalFormatting>
  <conditionalFormatting sqref="AI7:AI26">
    <cfRule type="dataBar" priority="2">
      <dataBar>
        <cfvo type="num" val="0"/>
        <cfvo type="num" val="1"/>
        <color rgb="00A8C3A0"/>
      </dataBar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H4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3" customWidth="1" min="4" max="4"/>
    <col width="13" customWidth="1" min="5" max="5"/>
    <col width="13" customWidth="1" min="6" max="6"/>
    <col width="12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" t="n"/>
      <c r="B2" s="2" t="inlineStr">
        <is>
          <t>Cleaning Schedule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Type the date you last did each chore. Next due date and status update themselves.</t>
        </is>
      </c>
      <c r="C3" s="1" t="n"/>
      <c r="D3" s="1" t="n"/>
      <c r="E3" s="1" t="n"/>
      <c r="F3" s="1" t="n"/>
      <c r="G3" s="1" t="n"/>
      <c r="H3" s="1" t="n"/>
    </row>
    <row r="4" ht="8" customHeight="1"/>
    <row r="6" ht="28" customHeight="1">
      <c r="B6" s="19" t="inlineStr">
        <is>
          <t>Chore</t>
        </is>
      </c>
      <c r="C6" s="19" t="inlineStr">
        <is>
          <t>Frequency</t>
        </is>
      </c>
      <c r="D6" s="19" t="inlineStr">
        <is>
          <t>Room</t>
        </is>
      </c>
      <c r="E6" s="19" t="inlineStr">
        <is>
          <t>Last done</t>
        </is>
      </c>
      <c r="F6" s="19" t="inlineStr">
        <is>
          <t>Next due</t>
        </is>
      </c>
      <c r="G6" s="19" t="inlineStr">
        <is>
          <t>Status</t>
        </is>
      </c>
    </row>
    <row r="7">
      <c r="B7" s="30" t="inlineStr">
        <is>
          <t>Wipe kitchen counters</t>
        </is>
      </c>
      <c r="C7" s="30" t="inlineStr">
        <is>
          <t>Daily</t>
        </is>
      </c>
      <c r="D7" s="30" t="inlineStr">
        <is>
          <t>Kitchen</t>
        </is>
      </c>
      <c r="E7" s="32" t="n">
        <v>46307</v>
      </c>
      <c r="F7" s="49">
        <f>IF(OR(B7="",C7=""),"",IF(E7="",TODAY(),E7+IF(C7="Daily",1,IF(C7="Weekly",7,IF(C7="Every 2 weeks",14,IF(C7="Monthly",30,IF(C7="Quarterly",91,IF(C7="Half-yearly",182,365))))))))</f>
        <v/>
      </c>
      <c r="G7" s="20">
        <f>IF(F7="","",IF(F7&lt;TODAY(),"Overdue",IF(F7=TODAY(),"Today","Upcoming")))</f>
        <v/>
      </c>
    </row>
    <row r="8">
      <c r="B8" s="30" t="inlineStr">
        <is>
          <t>Load / empty dishwasher</t>
        </is>
      </c>
      <c r="C8" s="30" t="inlineStr">
        <is>
          <t>Daily</t>
        </is>
      </c>
      <c r="D8" s="30" t="inlineStr">
        <is>
          <t>Kitchen</t>
        </is>
      </c>
      <c r="E8" s="32" t="n">
        <v>46307</v>
      </c>
      <c r="F8" s="49">
        <f>IF(OR(B8="",C8=""),"",IF(E8="",TODAY(),E8+IF(C8="Daily",1,IF(C8="Weekly",7,IF(C8="Every 2 weeks",14,IF(C8="Monthly",30,IF(C8="Quarterly",91,IF(C8="Half-yearly",182,365))))))))</f>
        <v/>
      </c>
      <c r="G8" s="20">
        <f>IF(F8="","",IF(F8&lt;TODAY(),"Overdue",IF(F8=TODAY(),"Today","Upcoming")))</f>
        <v/>
      </c>
    </row>
    <row r="9">
      <c r="B9" s="30" t="inlineStr">
        <is>
          <t>Quick bathroom wipe</t>
        </is>
      </c>
      <c r="C9" s="30" t="inlineStr">
        <is>
          <t>Daily</t>
        </is>
      </c>
      <c r="D9" s="30" t="inlineStr">
        <is>
          <t>Bathroom</t>
        </is>
      </c>
      <c r="E9" s="32" t="n">
        <v>46306</v>
      </c>
      <c r="F9" s="49">
        <f>IF(OR(B9="",C9=""),"",IF(E9="",TODAY(),E9+IF(C9="Daily",1,IF(C9="Weekly",7,IF(C9="Every 2 weeks",14,IF(C9="Monthly",30,IF(C9="Quarterly",91,IF(C9="Half-yearly",182,365))))))))</f>
        <v/>
      </c>
      <c r="G9" s="20">
        <f>IF(F9="","",IF(F9&lt;TODAY(),"Overdue",IF(F9=TODAY(),"Today","Upcoming")))</f>
        <v/>
      </c>
    </row>
    <row r="10">
      <c r="B10" s="30" t="inlineStr">
        <is>
          <t>Vacuum floors</t>
        </is>
      </c>
      <c r="C10" s="30" t="inlineStr">
        <is>
          <t>Weekly</t>
        </is>
      </c>
      <c r="D10" s="30" t="inlineStr">
        <is>
          <t>Whole home</t>
        </is>
      </c>
      <c r="E10" s="32" t="n">
        <v>46303</v>
      </c>
      <c r="F10" s="49">
        <f>IF(OR(B10="",C10=""),"",IF(E10="",TODAY(),E10+IF(C10="Daily",1,IF(C10="Weekly",7,IF(C10="Every 2 weeks",14,IF(C10="Monthly",30,IF(C10="Quarterly",91,IF(C10="Half-yearly",182,365))))))))</f>
        <v/>
      </c>
      <c r="G10" s="20">
        <f>IF(F10="","",IF(F10&lt;TODAY(),"Overdue",IF(F10=TODAY(),"Today","Upcoming")))</f>
        <v/>
      </c>
    </row>
    <row r="11">
      <c r="B11" s="30" t="inlineStr">
        <is>
          <t>Change bed sheets</t>
        </is>
      </c>
      <c r="C11" s="30" t="inlineStr">
        <is>
          <t>Weekly</t>
        </is>
      </c>
      <c r="D11" s="30" t="inlineStr">
        <is>
          <t>Bedroom</t>
        </is>
      </c>
      <c r="E11" s="32" t="n">
        <v>46299</v>
      </c>
      <c r="F11" s="49">
        <f>IF(OR(B11="",C11=""),"",IF(E11="",TODAY(),E11+IF(C11="Daily",1,IF(C11="Weekly",7,IF(C11="Every 2 weeks",14,IF(C11="Monthly",30,IF(C11="Quarterly",91,IF(C11="Half-yearly",182,365))))))))</f>
        <v/>
      </c>
      <c r="G11" s="20">
        <f>IF(F11="","",IF(F11&lt;TODAY(),"Overdue",IF(F11=TODAY(),"Today","Upcoming")))</f>
        <v/>
      </c>
    </row>
    <row r="12">
      <c r="B12" s="30" t="inlineStr">
        <is>
          <t>Clean toilets</t>
        </is>
      </c>
      <c r="C12" s="30" t="inlineStr">
        <is>
          <t>Weekly</t>
        </is>
      </c>
      <c r="D12" s="30" t="inlineStr">
        <is>
          <t>Bathroom</t>
        </is>
      </c>
      <c r="E12" s="32" t="n">
        <v>46301</v>
      </c>
      <c r="F12" s="49">
        <f>IF(OR(B12="",C12=""),"",IF(E12="",TODAY(),E12+IF(C12="Daily",1,IF(C12="Weekly",7,IF(C12="Every 2 weeks",14,IF(C12="Monthly",30,IF(C12="Quarterly",91,IF(C12="Half-yearly",182,365))))))))</f>
        <v/>
      </c>
      <c r="G12" s="20">
        <f>IF(F12="","",IF(F12&lt;TODAY(),"Overdue",IF(F12=TODAY(),"Today","Upcoming")))</f>
        <v/>
      </c>
    </row>
    <row r="13">
      <c r="B13" s="30" t="inlineStr">
        <is>
          <t>Mop floors</t>
        </is>
      </c>
      <c r="C13" s="30" t="inlineStr">
        <is>
          <t>Weekly</t>
        </is>
      </c>
      <c r="D13" s="30" t="inlineStr">
        <is>
          <t>Whole home</t>
        </is>
      </c>
      <c r="E13" s="32" t="n">
        <v>46302</v>
      </c>
      <c r="F13" s="49">
        <f>IF(OR(B13="",C13=""),"",IF(E13="",TODAY(),E13+IF(C13="Daily",1,IF(C13="Weekly",7,IF(C13="Every 2 weeks",14,IF(C13="Monthly",30,IF(C13="Quarterly",91,IF(C13="Half-yearly",182,365))))))))</f>
        <v/>
      </c>
      <c r="G13" s="20">
        <f>IF(F13="","",IF(F13&lt;TODAY(),"Overdue",IF(F13=TODAY(),"Today","Upcoming")))</f>
        <v/>
      </c>
    </row>
    <row r="14">
      <c r="B14" s="30" t="inlineStr">
        <is>
          <t>Clean out fridge</t>
        </is>
      </c>
      <c r="C14" s="30" t="inlineStr">
        <is>
          <t>Weekly</t>
        </is>
      </c>
      <c r="D14" s="30" t="inlineStr">
        <is>
          <t>Kitchen</t>
        </is>
      </c>
      <c r="E14" s="32" t="n">
        <v>46298</v>
      </c>
      <c r="F14" s="49">
        <f>IF(OR(B14="",C14=""),"",IF(E14="",TODAY(),E14+IF(C14="Daily",1,IF(C14="Weekly",7,IF(C14="Every 2 weeks",14,IF(C14="Monthly",30,IF(C14="Quarterly",91,IF(C14="Half-yearly",182,365))))))))</f>
        <v/>
      </c>
      <c r="G14" s="20">
        <f>IF(F14="","",IF(F14&lt;TODAY(),"Overdue",IF(F14=TODAY(),"Today","Upcoming")))</f>
        <v/>
      </c>
    </row>
    <row r="15">
      <c r="B15" s="30" t="inlineStr">
        <is>
          <t>Dust surfaces</t>
        </is>
      </c>
      <c r="C15" s="30" t="inlineStr">
        <is>
          <t>Weekly</t>
        </is>
      </c>
      <c r="D15" s="30" t="inlineStr">
        <is>
          <t>Living room</t>
        </is>
      </c>
      <c r="E15" s="32" t="n">
        <v>46304</v>
      </c>
      <c r="F15" s="49">
        <f>IF(OR(B15="",C15=""),"",IF(E15="",TODAY(),E15+IF(C15="Daily",1,IF(C15="Weekly",7,IF(C15="Every 2 weeks",14,IF(C15="Monthly",30,IF(C15="Quarterly",91,IF(C15="Half-yearly",182,365))))))))</f>
        <v/>
      </c>
      <c r="G15" s="20">
        <f>IF(F15="","",IF(F15&lt;TODAY(),"Overdue",IF(F15=TODAY(),"Today","Upcoming")))</f>
        <v/>
      </c>
    </row>
    <row r="16">
      <c r="B16" s="30" t="inlineStr">
        <is>
          <t>Clean oven</t>
        </is>
      </c>
      <c r="C16" s="30" t="inlineStr">
        <is>
          <t>Monthly</t>
        </is>
      </c>
      <c r="D16" s="30" t="inlineStr">
        <is>
          <t>Kitchen</t>
        </is>
      </c>
      <c r="E16" s="32" t="n">
        <v>46267</v>
      </c>
      <c r="F16" s="49">
        <f>IF(OR(B16="",C16=""),"",IF(E16="",TODAY(),E16+IF(C16="Daily",1,IF(C16="Weekly",7,IF(C16="Every 2 weeks",14,IF(C16="Monthly",30,IF(C16="Quarterly",91,IF(C16="Half-yearly",182,365))))))))</f>
        <v/>
      </c>
      <c r="G16" s="20">
        <f>IF(F16="","",IF(F16&lt;TODAY(),"Overdue",IF(F16=TODAY(),"Today","Upcoming")))</f>
        <v/>
      </c>
    </row>
    <row r="17">
      <c r="B17" s="30" t="inlineStr">
        <is>
          <t>Wash windows inside</t>
        </is>
      </c>
      <c r="C17" s="30" t="inlineStr">
        <is>
          <t>Monthly</t>
        </is>
      </c>
      <c r="D17" s="30" t="inlineStr">
        <is>
          <t>Whole home</t>
        </is>
      </c>
      <c r="E17" s="32" t="n">
        <v>46287</v>
      </c>
      <c r="F17" s="49">
        <f>IF(OR(B17="",C17=""),"",IF(E17="",TODAY(),E17+IF(C17="Daily",1,IF(C17="Weekly",7,IF(C17="Every 2 weeks",14,IF(C17="Monthly",30,IF(C17="Quarterly",91,IF(C17="Half-yearly",182,365))))))))</f>
        <v/>
      </c>
      <c r="G17" s="20">
        <f>IF(F17="","",IF(F17&lt;TODAY(),"Overdue",IF(F17=TODAY(),"Today","Upcoming")))</f>
        <v/>
      </c>
    </row>
    <row r="18">
      <c r="B18" s="30" t="inlineStr">
        <is>
          <t>Descale kettle</t>
        </is>
      </c>
      <c r="C18" s="30" t="inlineStr">
        <is>
          <t>Monthly</t>
        </is>
      </c>
      <c r="D18" s="30" t="inlineStr">
        <is>
          <t>Kitchen</t>
        </is>
      </c>
      <c r="E18" s="32" t="n">
        <v>46292</v>
      </c>
      <c r="F18" s="49">
        <f>IF(OR(B18="",C18=""),"",IF(E18="",TODAY(),E18+IF(C18="Daily",1,IF(C18="Weekly",7,IF(C18="Every 2 weeks",14,IF(C18="Monthly",30,IF(C18="Quarterly",91,IF(C18="Half-yearly",182,365))))))))</f>
        <v/>
      </c>
      <c r="G18" s="20">
        <f>IF(F18="","",IF(F18&lt;TODAY(),"Overdue",IF(F18=TODAY(),"Today","Upcoming")))</f>
        <v/>
      </c>
    </row>
    <row r="19">
      <c r="B19" s="30" t="inlineStr">
        <is>
          <t>Wash duvets &amp; pillows</t>
        </is>
      </c>
      <c r="C19" s="30" t="inlineStr">
        <is>
          <t>Quarterly</t>
        </is>
      </c>
      <c r="D19" s="30" t="inlineStr">
        <is>
          <t>Bedroom</t>
        </is>
      </c>
      <c r="E19" s="32" t="n">
        <v>46237</v>
      </c>
      <c r="F19" s="49">
        <f>IF(OR(B19="",C19=""),"",IF(E19="",TODAY(),E19+IF(C19="Daily",1,IF(C19="Weekly",7,IF(C19="Every 2 weeks",14,IF(C19="Monthly",30,IF(C19="Quarterly",91,IF(C19="Half-yearly",182,365))))))))</f>
        <v/>
      </c>
      <c r="G19" s="20">
        <f>IF(F19="","",IF(F19&lt;TODAY(),"Overdue",IF(F19=TODAY(),"Today","Upcoming")))</f>
        <v/>
      </c>
    </row>
    <row r="20">
      <c r="B20" s="30" t="inlineStr">
        <is>
          <t>Clean behind appliances</t>
        </is>
      </c>
      <c r="C20" s="30" t="inlineStr">
        <is>
          <t>Quarterly</t>
        </is>
      </c>
      <c r="D20" s="30" t="inlineStr">
        <is>
          <t>Kitchen</t>
        </is>
      </c>
      <c r="E20" s="32" t="n">
        <v>46212</v>
      </c>
      <c r="F20" s="49">
        <f>IF(OR(B20="",C20=""),"",IF(E20="",TODAY(),E20+IF(C20="Daily",1,IF(C20="Weekly",7,IF(C20="Every 2 weeks",14,IF(C20="Monthly",30,IF(C20="Quarterly",91,IF(C20="Half-yearly",182,365))))))))</f>
        <v/>
      </c>
      <c r="G20" s="20">
        <f>IF(F20="","",IF(F20&lt;TODAY(),"Overdue",IF(F20=TODAY(),"Today","Upcoming")))</f>
        <v/>
      </c>
    </row>
    <row r="21">
      <c r="B21" s="30" t="inlineStr">
        <is>
          <t>Deep clean carpets</t>
        </is>
      </c>
      <c r="C21" s="30" t="inlineStr">
        <is>
          <t>Half-yearly</t>
        </is>
      </c>
      <c r="D21" s="30" t="inlineStr">
        <is>
          <t>Living room</t>
        </is>
      </c>
      <c r="E21" s="32" t="n">
        <v>46187</v>
      </c>
      <c r="F21" s="49">
        <f>IF(OR(B21="",C21=""),"",IF(E21="",TODAY(),E21+IF(C21="Daily",1,IF(C21="Weekly",7,IF(C21="Every 2 weeks",14,IF(C21="Monthly",30,IF(C21="Quarterly",91,IF(C21="Half-yearly",182,365))))))))</f>
        <v/>
      </c>
      <c r="G21" s="20">
        <f>IF(F21="","",IF(F21&lt;TODAY(),"Overdue",IF(F21=TODAY(),"Today","Upcoming")))</f>
        <v/>
      </c>
    </row>
    <row r="22">
      <c r="B22" s="30" t="inlineStr">
        <is>
          <t>Clear gutters</t>
        </is>
      </c>
      <c r="C22" s="30" t="inlineStr">
        <is>
          <t>Yearly</t>
        </is>
      </c>
      <c r="D22" s="30" t="inlineStr">
        <is>
          <t>Outside</t>
        </is>
      </c>
      <c r="E22" s="32" t="n">
        <v>46007</v>
      </c>
      <c r="F22" s="49">
        <f>IF(OR(B22="",C22=""),"",IF(E22="",TODAY(),E22+IF(C22="Daily",1,IF(C22="Weekly",7,IF(C22="Every 2 weeks",14,IF(C22="Monthly",30,IF(C22="Quarterly",91,IF(C22="Half-yearly",182,365))))))))</f>
        <v/>
      </c>
      <c r="G22" s="20">
        <f>IF(F22="","",IF(F22&lt;TODAY(),"Overdue",IF(F22=TODAY(),"Today","Upcoming")))</f>
        <v/>
      </c>
    </row>
    <row r="23">
      <c r="B23" s="30" t="n"/>
      <c r="C23" s="30" t="n"/>
      <c r="D23" s="30" t="n"/>
      <c r="E23" s="32" t="n"/>
      <c r="F23" s="49">
        <f>IF(OR(B23="",C23=""),"",IF(E23="",TODAY(),E23+IF(C23="Daily",1,IF(C23="Weekly",7,IF(C23="Every 2 weeks",14,IF(C23="Monthly",30,IF(C23="Quarterly",91,IF(C23="Half-yearly",182,365))))))))</f>
        <v/>
      </c>
      <c r="G23" s="20">
        <f>IF(F23="","",IF(F23&lt;TODAY(),"Overdue",IF(F23=TODAY(),"Today","Upcoming")))</f>
        <v/>
      </c>
    </row>
    <row r="24">
      <c r="B24" s="30" t="n"/>
      <c r="C24" s="30" t="n"/>
      <c r="D24" s="30" t="n"/>
      <c r="E24" s="32" t="n"/>
      <c r="F24" s="49">
        <f>IF(OR(B24="",C24=""),"",IF(E24="",TODAY(),E24+IF(C24="Daily",1,IF(C24="Weekly",7,IF(C24="Every 2 weeks",14,IF(C24="Monthly",30,IF(C24="Quarterly",91,IF(C24="Half-yearly",182,365))))))))</f>
        <v/>
      </c>
      <c r="G24" s="20">
        <f>IF(F24="","",IF(F24&lt;TODAY(),"Overdue",IF(F24=TODAY(),"Today","Upcoming")))</f>
        <v/>
      </c>
    </row>
    <row r="25">
      <c r="B25" s="30" t="n"/>
      <c r="C25" s="30" t="n"/>
      <c r="D25" s="30" t="n"/>
      <c r="E25" s="32" t="n"/>
      <c r="F25" s="49">
        <f>IF(OR(B25="",C25=""),"",IF(E25="",TODAY(),E25+IF(C25="Daily",1,IF(C25="Weekly",7,IF(C25="Every 2 weeks",14,IF(C25="Monthly",30,IF(C25="Quarterly",91,IF(C25="Half-yearly",182,365))))))))</f>
        <v/>
      </c>
      <c r="G25" s="20">
        <f>IF(F25="","",IF(F25&lt;TODAY(),"Overdue",IF(F25=TODAY(),"Today","Upcoming")))</f>
        <v/>
      </c>
    </row>
    <row r="26">
      <c r="B26" s="30" t="n"/>
      <c r="C26" s="30" t="n"/>
      <c r="D26" s="30" t="n"/>
      <c r="E26" s="32" t="n"/>
      <c r="F26" s="49">
        <f>IF(OR(B26="",C26=""),"",IF(E26="",TODAY(),E26+IF(C26="Daily",1,IF(C26="Weekly",7,IF(C26="Every 2 weeks",14,IF(C26="Monthly",30,IF(C26="Quarterly",91,IF(C26="Half-yearly",182,365))))))))</f>
        <v/>
      </c>
      <c r="G26" s="20">
        <f>IF(F26="","",IF(F26&lt;TODAY(),"Overdue",IF(F26=TODAY(),"Today","Upcoming")))</f>
        <v/>
      </c>
    </row>
    <row r="27">
      <c r="B27" s="30" t="n"/>
      <c r="C27" s="30" t="n"/>
      <c r="D27" s="30" t="n"/>
      <c r="E27" s="32" t="n"/>
      <c r="F27" s="49">
        <f>IF(OR(B27="",C27=""),"",IF(E27="",TODAY(),E27+IF(C27="Daily",1,IF(C27="Weekly",7,IF(C27="Every 2 weeks",14,IF(C27="Monthly",30,IF(C27="Quarterly",91,IF(C27="Half-yearly",182,365))))))))</f>
        <v/>
      </c>
      <c r="G27" s="20">
        <f>IF(F27="","",IF(F27&lt;TODAY(),"Overdue",IF(F27=TODAY(),"Today","Upcoming")))</f>
        <v/>
      </c>
    </row>
    <row r="28">
      <c r="B28" s="30" t="n"/>
      <c r="C28" s="30" t="n"/>
      <c r="D28" s="30" t="n"/>
      <c r="E28" s="32" t="n"/>
      <c r="F28" s="49">
        <f>IF(OR(B28="",C28=""),"",IF(E28="",TODAY(),E28+IF(C28="Daily",1,IF(C28="Weekly",7,IF(C28="Every 2 weeks",14,IF(C28="Monthly",30,IF(C28="Quarterly",91,IF(C28="Half-yearly",182,365))))))))</f>
        <v/>
      </c>
      <c r="G28" s="20">
        <f>IF(F28="","",IF(F28&lt;TODAY(),"Overdue",IF(F28=TODAY(),"Today","Upcoming")))</f>
        <v/>
      </c>
    </row>
    <row r="29">
      <c r="B29" s="30" t="n"/>
      <c r="C29" s="30" t="n"/>
      <c r="D29" s="30" t="n"/>
      <c r="E29" s="32" t="n"/>
      <c r="F29" s="49">
        <f>IF(OR(B29="",C29=""),"",IF(E29="",TODAY(),E29+IF(C29="Daily",1,IF(C29="Weekly",7,IF(C29="Every 2 weeks",14,IF(C29="Monthly",30,IF(C29="Quarterly",91,IF(C29="Half-yearly",182,365))))))))</f>
        <v/>
      </c>
      <c r="G29" s="20">
        <f>IF(F29="","",IF(F29&lt;TODAY(),"Overdue",IF(F29=TODAY(),"Today","Upcoming")))</f>
        <v/>
      </c>
    </row>
    <row r="30">
      <c r="B30" s="30" t="n"/>
      <c r="C30" s="30" t="n"/>
      <c r="D30" s="30" t="n"/>
      <c r="E30" s="32" t="n"/>
      <c r="F30" s="49">
        <f>IF(OR(B30="",C30=""),"",IF(E30="",TODAY(),E30+IF(C30="Daily",1,IF(C30="Weekly",7,IF(C30="Every 2 weeks",14,IF(C30="Monthly",30,IF(C30="Quarterly",91,IF(C30="Half-yearly",182,365))))))))</f>
        <v/>
      </c>
      <c r="G30" s="20">
        <f>IF(F30="","",IF(F30&lt;TODAY(),"Overdue",IF(F30=TODAY(),"Today","Upcoming")))</f>
        <v/>
      </c>
    </row>
    <row r="31">
      <c r="B31" s="30" t="n"/>
      <c r="C31" s="30" t="n"/>
      <c r="D31" s="30" t="n"/>
      <c r="E31" s="32" t="n"/>
      <c r="F31" s="49">
        <f>IF(OR(B31="",C31=""),"",IF(E31="",TODAY(),E31+IF(C31="Daily",1,IF(C31="Weekly",7,IF(C31="Every 2 weeks",14,IF(C31="Monthly",30,IF(C31="Quarterly",91,IF(C31="Half-yearly",182,365))))))))</f>
        <v/>
      </c>
      <c r="G31" s="20">
        <f>IF(F31="","",IF(F31&lt;TODAY(),"Overdue",IF(F31=TODAY(),"Today","Upcoming")))</f>
        <v/>
      </c>
    </row>
    <row r="32">
      <c r="B32" s="30" t="n"/>
      <c r="C32" s="30" t="n"/>
      <c r="D32" s="30" t="n"/>
      <c r="E32" s="32" t="n"/>
      <c r="F32" s="49">
        <f>IF(OR(B32="",C32=""),"",IF(E32="",TODAY(),E32+IF(C32="Daily",1,IF(C32="Weekly",7,IF(C32="Every 2 weeks",14,IF(C32="Monthly",30,IF(C32="Quarterly",91,IF(C32="Half-yearly",182,365))))))))</f>
        <v/>
      </c>
      <c r="G32" s="20">
        <f>IF(F32="","",IF(F32&lt;TODAY(),"Overdue",IF(F32=TODAY(),"Today","Upcoming")))</f>
        <v/>
      </c>
    </row>
    <row r="33">
      <c r="B33" s="30" t="n"/>
      <c r="C33" s="30" t="n"/>
      <c r="D33" s="30" t="n"/>
      <c r="E33" s="32" t="n"/>
      <c r="F33" s="49">
        <f>IF(OR(B33="",C33=""),"",IF(E33="",TODAY(),E33+IF(C33="Daily",1,IF(C33="Weekly",7,IF(C33="Every 2 weeks",14,IF(C33="Monthly",30,IF(C33="Quarterly",91,IF(C33="Half-yearly",182,365))))))))</f>
        <v/>
      </c>
      <c r="G33" s="20">
        <f>IF(F33="","",IF(F33&lt;TODAY(),"Overdue",IF(F33=TODAY(),"Today","Upcoming")))</f>
        <v/>
      </c>
    </row>
    <row r="34">
      <c r="B34" s="30" t="n"/>
      <c r="C34" s="30" t="n"/>
      <c r="D34" s="30" t="n"/>
      <c r="E34" s="32" t="n"/>
      <c r="F34" s="49">
        <f>IF(OR(B34="",C34=""),"",IF(E34="",TODAY(),E34+IF(C34="Daily",1,IF(C34="Weekly",7,IF(C34="Every 2 weeks",14,IF(C34="Monthly",30,IF(C34="Quarterly",91,IF(C34="Half-yearly",182,365))))))))</f>
        <v/>
      </c>
      <c r="G34" s="20">
        <f>IF(F34="","",IF(F34&lt;TODAY(),"Overdue",IF(F34=TODAY(),"Today","Upcoming")))</f>
        <v/>
      </c>
    </row>
    <row r="35">
      <c r="B35" s="30" t="n"/>
      <c r="C35" s="30" t="n"/>
      <c r="D35" s="30" t="n"/>
      <c r="E35" s="32" t="n"/>
      <c r="F35" s="49">
        <f>IF(OR(B35="",C35=""),"",IF(E35="",TODAY(),E35+IF(C35="Daily",1,IF(C35="Weekly",7,IF(C35="Every 2 weeks",14,IF(C35="Monthly",30,IF(C35="Quarterly",91,IF(C35="Half-yearly",182,365))))))))</f>
        <v/>
      </c>
      <c r="G35" s="20">
        <f>IF(F35="","",IF(F35&lt;TODAY(),"Overdue",IF(F35=TODAY(),"Today","Upcoming")))</f>
        <v/>
      </c>
    </row>
    <row r="36">
      <c r="B36" s="30" t="n"/>
      <c r="C36" s="30" t="n"/>
      <c r="D36" s="30" t="n"/>
      <c r="E36" s="32" t="n"/>
      <c r="F36" s="49">
        <f>IF(OR(B36="",C36=""),"",IF(E36="",TODAY(),E36+IF(C36="Daily",1,IF(C36="Weekly",7,IF(C36="Every 2 weeks",14,IF(C36="Monthly",30,IF(C36="Quarterly",91,IF(C36="Half-yearly",182,365))))))))</f>
        <v/>
      </c>
      <c r="G36" s="20">
        <f>IF(F36="","",IF(F36&lt;TODAY(),"Overdue",IF(F36=TODAY(),"Today","Upcoming")))</f>
        <v/>
      </c>
    </row>
    <row r="37">
      <c r="B37" s="30" t="n"/>
      <c r="C37" s="30" t="n"/>
      <c r="D37" s="30" t="n"/>
      <c r="E37" s="32" t="n"/>
      <c r="F37" s="49">
        <f>IF(OR(B37="",C37=""),"",IF(E37="",TODAY(),E37+IF(C37="Daily",1,IF(C37="Weekly",7,IF(C37="Every 2 weeks",14,IF(C37="Monthly",30,IF(C37="Quarterly",91,IF(C37="Half-yearly",182,365))))))))</f>
        <v/>
      </c>
      <c r="G37" s="20">
        <f>IF(F37="","",IF(F37&lt;TODAY(),"Overdue",IF(F37=TODAY(),"Today","Upcoming")))</f>
        <v/>
      </c>
    </row>
    <row r="38">
      <c r="B38" s="30" t="n"/>
      <c r="C38" s="30" t="n"/>
      <c r="D38" s="30" t="n"/>
      <c r="E38" s="32" t="n"/>
      <c r="F38" s="49">
        <f>IF(OR(B38="",C38=""),"",IF(E38="",TODAY(),E38+IF(C38="Daily",1,IF(C38="Weekly",7,IF(C38="Every 2 weeks",14,IF(C38="Monthly",30,IF(C38="Quarterly",91,IF(C38="Half-yearly",182,365))))))))</f>
        <v/>
      </c>
      <c r="G38" s="20">
        <f>IF(F38="","",IF(F38&lt;TODAY(),"Overdue",IF(F38=TODAY(),"Today","Upcoming")))</f>
        <v/>
      </c>
    </row>
    <row r="39">
      <c r="B39" s="30" t="n"/>
      <c r="C39" s="30" t="n"/>
      <c r="D39" s="30" t="n"/>
      <c r="E39" s="32" t="n"/>
      <c r="F39" s="49">
        <f>IF(OR(B39="",C39=""),"",IF(E39="",TODAY(),E39+IF(C39="Daily",1,IF(C39="Weekly",7,IF(C39="Every 2 weeks",14,IF(C39="Monthly",30,IF(C39="Quarterly",91,IF(C39="Half-yearly",182,365))))))))</f>
        <v/>
      </c>
      <c r="G39" s="20">
        <f>IF(F39="","",IF(F39&lt;TODAY(),"Overdue",IF(F39=TODAY(),"Today","Upcoming")))</f>
        <v/>
      </c>
    </row>
    <row r="40">
      <c r="B40" s="30" t="n"/>
      <c r="C40" s="30" t="n"/>
      <c r="D40" s="30" t="n"/>
      <c r="E40" s="32" t="n"/>
      <c r="F40" s="49">
        <f>IF(OR(B40="",C40=""),"",IF(E40="",TODAY(),E40+IF(C40="Daily",1,IF(C40="Weekly",7,IF(C40="Every 2 weeks",14,IF(C40="Monthly",30,IF(C40="Quarterly",91,IF(C40="Half-yearly",182,365))))))))</f>
        <v/>
      </c>
      <c r="G40" s="20">
        <f>IF(F40="","",IF(F40&lt;TODAY(),"Overdue",IF(F40=TODAY(),"Today","Upcoming")))</f>
        <v/>
      </c>
    </row>
    <row r="41">
      <c r="B41" s="30" t="n"/>
      <c r="C41" s="30" t="n"/>
      <c r="D41" s="30" t="n"/>
      <c r="E41" s="32" t="n"/>
      <c r="F41" s="49">
        <f>IF(OR(B41="",C41=""),"",IF(E41="",TODAY(),E41+IF(C41="Daily",1,IF(C41="Weekly",7,IF(C41="Every 2 weeks",14,IF(C41="Monthly",30,IF(C41="Quarterly",91,IF(C41="Half-yearly",182,365))))))))</f>
        <v/>
      </c>
      <c r="G41" s="20">
        <f>IF(F41="","",IF(F41&lt;TODAY(),"Overdue",IF(F41=TODAY(),"Today","Upcoming")))</f>
        <v/>
      </c>
    </row>
    <row r="42">
      <c r="B42" s="30" t="n"/>
      <c r="C42" s="30" t="n"/>
      <c r="D42" s="30" t="n"/>
      <c r="E42" s="32" t="n"/>
      <c r="F42" s="49">
        <f>IF(OR(B42="",C42=""),"",IF(E42="",TODAY(),E42+IF(C42="Daily",1,IF(C42="Weekly",7,IF(C42="Every 2 weeks",14,IF(C42="Monthly",30,IF(C42="Quarterly",91,IF(C42="Half-yearly",182,365))))))))</f>
        <v/>
      </c>
      <c r="G42" s="20">
        <f>IF(F42="","",IF(F42&lt;TODAY(),"Overdue",IF(F42=TODAY(),"Today","Upcoming")))</f>
        <v/>
      </c>
    </row>
    <row r="43">
      <c r="B43" s="30" t="n"/>
      <c r="C43" s="30" t="n"/>
      <c r="D43" s="30" t="n"/>
      <c r="E43" s="32" t="n"/>
      <c r="F43" s="49">
        <f>IF(OR(B43="",C43=""),"",IF(E43="",TODAY(),E43+IF(C43="Daily",1,IF(C43="Weekly",7,IF(C43="Every 2 weeks",14,IF(C43="Monthly",30,IF(C43="Quarterly",91,IF(C43="Half-yearly",182,365))))))))</f>
        <v/>
      </c>
      <c r="G43" s="20">
        <f>IF(F43="","",IF(F43&lt;TODAY(),"Overdue",IF(F43=TODAY(),"Today","Upcoming")))</f>
        <v/>
      </c>
    </row>
    <row r="44">
      <c r="B44" s="30" t="n"/>
      <c r="C44" s="30" t="n"/>
      <c r="D44" s="30" t="n"/>
      <c r="E44" s="32" t="n"/>
      <c r="F44" s="49">
        <f>IF(OR(B44="",C44=""),"",IF(E44="",TODAY(),E44+IF(C44="Daily",1,IF(C44="Weekly",7,IF(C44="Every 2 weeks",14,IF(C44="Monthly",30,IF(C44="Quarterly",91,IF(C44="Half-yearly",182,365))))))))</f>
        <v/>
      </c>
      <c r="G44" s="20">
        <f>IF(F44="","",IF(F44&lt;TODAY(),"Overdue",IF(F44=TODAY(),"Today","Upcoming")))</f>
        <v/>
      </c>
    </row>
    <row r="45">
      <c r="B45" s="30" t="n"/>
      <c r="C45" s="30" t="n"/>
      <c r="D45" s="30" t="n"/>
      <c r="E45" s="32" t="n"/>
      <c r="F45" s="49">
        <f>IF(OR(B45="",C45=""),"",IF(E45="",TODAY(),E45+IF(C45="Daily",1,IF(C45="Weekly",7,IF(C45="Every 2 weeks",14,IF(C45="Monthly",30,IF(C45="Quarterly",91,IF(C45="Half-yearly",182,365))))))))</f>
        <v/>
      </c>
      <c r="G45" s="20">
        <f>IF(F45="","",IF(F45&lt;TODAY(),"Overdue",IF(F45=TODAY(),"Today","Upcoming")))</f>
        <v/>
      </c>
    </row>
    <row r="46">
      <c r="B46" s="30" t="n"/>
      <c r="C46" s="30" t="n"/>
      <c r="D46" s="30" t="n"/>
      <c r="E46" s="32" t="n"/>
      <c r="F46" s="49">
        <f>IF(OR(B46="",C46=""),"",IF(E46="",TODAY(),E46+IF(C46="Daily",1,IF(C46="Weekly",7,IF(C46="Every 2 weeks",14,IF(C46="Monthly",30,IF(C46="Quarterly",91,IF(C46="Half-yearly",182,365))))))))</f>
        <v/>
      </c>
      <c r="G46" s="20">
        <f>IF(F46="","",IF(F46&lt;TODAY(),"Overdue",IF(F46=TODAY(),"Today","Upcoming")))</f>
        <v/>
      </c>
    </row>
  </sheetData>
  <conditionalFormatting sqref="G7:G46">
    <cfRule type="cellIs" priority="1" operator="equal" dxfId="4">
      <formula>"Overdue"</formula>
    </cfRule>
    <cfRule type="cellIs" priority="2" operator="equal" dxfId="5">
      <formula>"Today"</formula>
    </cfRule>
  </conditionalFormatting>
  <dataValidations count="1">
    <dataValidation sqref="C7:C46" showDropDown="0" showInputMessage="0" showErrorMessage="0" allowBlank="1" type="list">
      <formula1>"Daily,Weekly,Every 2 weeks,Monthly,Quarterly,Half-yearly,Yearly"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G94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13" customWidth="1" min="4" max="4"/>
    <col width="6" customWidth="1" min="5" max="5"/>
    <col width="14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2" t="inlineStr">
        <is>
          <t>Goal Tracker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Ten goals. For each: why it matters, five dated steps, and a reward. Tick steps with x.</t>
        </is>
      </c>
      <c r="C3" s="1" t="n"/>
      <c r="D3" s="1" t="n"/>
      <c r="E3" s="1" t="n"/>
      <c r="F3" s="1" t="n"/>
      <c r="G3" s="1" t="n"/>
    </row>
    <row r="4" ht="8" customHeight="1"/>
    <row r="6" ht="28" customHeight="1">
      <c r="B6" s="18" t="inlineStr">
        <is>
          <t>Goal</t>
        </is>
      </c>
      <c r="C6" s="18" t="inlineStr">
        <is>
          <t>Why it matters</t>
        </is>
      </c>
      <c r="D6" s="18" t="inlineStr">
        <is>
          <t>Deadline</t>
        </is>
      </c>
      <c r="E6" s="18" t="inlineStr">
        <is>
          <t>Done</t>
        </is>
      </c>
      <c r="F6" s="18" t="inlineStr">
        <is>
          <t>Progress</t>
        </is>
      </c>
    </row>
    <row r="7">
      <c r="B7" s="30" t="inlineStr">
        <is>
          <t>Run a 10K</t>
        </is>
      </c>
      <c r="C7" s="30" t="inlineStr">
        <is>
          <t>Feel fit and proud</t>
        </is>
      </c>
      <c r="D7" s="32" t="n">
        <v>46537</v>
      </c>
      <c r="E7" s="20" t="n"/>
      <c r="F7" s="22">
        <f>IF(B7="","",COUNTIF(E8:E12,"x")/5)</f>
        <v/>
      </c>
    </row>
    <row r="8">
      <c r="B8" s="50" t="inlineStr">
        <is>
          <t>Step 1</t>
        </is>
      </c>
      <c r="C8" s="30" t="inlineStr">
        <is>
          <t>Buy running shoes</t>
        </is>
      </c>
      <c r="D8" s="32" t="n">
        <v>46297</v>
      </c>
      <c r="E8" s="48" t="inlineStr">
        <is>
          <t>x</t>
        </is>
      </c>
    </row>
    <row r="9">
      <c r="B9" s="50" t="inlineStr">
        <is>
          <t>Step 2</t>
        </is>
      </c>
      <c r="C9" s="30" t="inlineStr">
        <is>
          <t>Run 3K without stopping</t>
        </is>
      </c>
      <c r="D9" s="32" t="n">
        <v>46327</v>
      </c>
      <c r="E9" s="48" t="inlineStr">
        <is>
          <t>x</t>
        </is>
      </c>
    </row>
    <row r="10">
      <c r="B10" s="50" t="inlineStr">
        <is>
          <t>Step 3</t>
        </is>
      </c>
      <c r="C10" s="30" t="inlineStr">
        <is>
          <t>Run 5K</t>
        </is>
      </c>
      <c r="D10" s="32" t="n">
        <v>46357</v>
      </c>
      <c r="E10" s="48" t="n"/>
    </row>
    <row r="11">
      <c r="B11" s="50" t="inlineStr">
        <is>
          <t>Step 4</t>
        </is>
      </c>
      <c r="C11" s="30" t="inlineStr">
        <is>
          <t>Run 8K</t>
        </is>
      </c>
      <c r="D11" s="32" t="n">
        <v>46387</v>
      </c>
      <c r="E11" s="48" t="n"/>
    </row>
    <row r="12">
      <c r="B12" s="50" t="inlineStr">
        <is>
          <t>Step 5</t>
        </is>
      </c>
      <c r="C12" s="30" t="inlineStr">
        <is>
          <t>Race day</t>
        </is>
      </c>
      <c r="D12" s="32" t="n">
        <v>46417</v>
      </c>
      <c r="E12" s="48" t="n"/>
    </row>
    <row r="13">
      <c r="B13" s="50" t="inlineStr">
        <is>
          <t>Reward</t>
        </is>
      </c>
      <c r="C13" s="30" t="inlineStr">
        <is>
          <t>New running watch</t>
        </is>
      </c>
    </row>
    <row r="15" ht="28" customHeight="1">
      <c r="B15" s="23" t="inlineStr">
        <is>
          <t>Goal</t>
        </is>
      </c>
      <c r="C15" s="23" t="inlineStr">
        <is>
          <t>Why it matters</t>
        </is>
      </c>
      <c r="D15" s="23" t="inlineStr">
        <is>
          <t>Deadline</t>
        </is>
      </c>
      <c r="E15" s="23" t="inlineStr">
        <is>
          <t>Done</t>
        </is>
      </c>
      <c r="F15" s="23" t="inlineStr">
        <is>
          <t>Progress</t>
        </is>
      </c>
    </row>
    <row r="16">
      <c r="B16" s="30" t="inlineStr">
        <is>
          <t>Save $5,000 emergency fund</t>
        </is>
      </c>
      <c r="C16" s="30" t="inlineStr">
        <is>
          <t>Stop worrying about surprise bills</t>
        </is>
      </c>
      <c r="D16" s="32" t="n">
        <v>46568</v>
      </c>
      <c r="E16" s="20" t="n"/>
      <c r="F16" s="22">
        <f>IF(B16="","",COUNTIF(E17:E21,"x")/5)</f>
        <v/>
      </c>
    </row>
    <row r="17">
      <c r="B17" s="50" t="inlineStr">
        <is>
          <t>Step 1</t>
        </is>
      </c>
      <c r="C17" s="30" t="inlineStr">
        <is>
          <t>Open savings account</t>
        </is>
      </c>
      <c r="D17" s="32" t="n">
        <v>46297</v>
      </c>
      <c r="E17" s="48" t="inlineStr">
        <is>
          <t>x</t>
        </is>
      </c>
    </row>
    <row r="18">
      <c r="B18" s="50" t="inlineStr">
        <is>
          <t>Step 2</t>
        </is>
      </c>
      <c r="C18" s="30" t="inlineStr">
        <is>
          <t>Automate $300 a month</t>
        </is>
      </c>
      <c r="D18" s="32" t="n">
        <v>46327</v>
      </c>
      <c r="E18" s="48" t="n"/>
    </row>
    <row r="19">
      <c r="B19" s="50" t="inlineStr">
        <is>
          <t>Step 3</t>
        </is>
      </c>
      <c r="C19" s="30" t="inlineStr">
        <is>
          <t>Reach $2,500</t>
        </is>
      </c>
      <c r="D19" s="32" t="n">
        <v>46357</v>
      </c>
      <c r="E19" s="48" t="n"/>
    </row>
    <row r="20">
      <c r="B20" s="50" t="inlineStr">
        <is>
          <t>Step 4</t>
        </is>
      </c>
      <c r="C20" s="30" t="inlineStr">
        <is>
          <t>Reach $4,000</t>
        </is>
      </c>
      <c r="D20" s="32" t="n">
        <v>46387</v>
      </c>
      <c r="E20" s="48" t="n"/>
    </row>
    <row r="21">
      <c r="B21" s="50" t="inlineStr">
        <is>
          <t>Step 5</t>
        </is>
      </c>
      <c r="C21" s="30" t="inlineStr">
        <is>
          <t>Reach $5,000</t>
        </is>
      </c>
      <c r="D21" s="32" t="n">
        <v>46417</v>
      </c>
      <c r="E21" s="48" t="n"/>
    </row>
    <row r="22">
      <c r="B22" s="50" t="inlineStr">
        <is>
          <t>Reward</t>
        </is>
      </c>
      <c r="C22" s="30" t="inlineStr">
        <is>
          <t>Weekend away</t>
        </is>
      </c>
    </row>
    <row r="24" ht="28" customHeight="1">
      <c r="B24" s="18" t="inlineStr">
        <is>
          <t>Goal</t>
        </is>
      </c>
      <c r="C24" s="18" t="inlineStr">
        <is>
          <t>Why it matters</t>
        </is>
      </c>
      <c r="D24" s="18" t="inlineStr">
        <is>
          <t>Deadline</t>
        </is>
      </c>
      <c r="E24" s="18" t="inlineStr">
        <is>
          <t>Done</t>
        </is>
      </c>
      <c r="F24" s="18" t="inlineStr">
        <is>
          <t>Progress</t>
        </is>
      </c>
    </row>
    <row r="25">
      <c r="B25" s="30" t="n"/>
      <c r="C25" s="30" t="n"/>
      <c r="D25" s="32" t="n"/>
      <c r="E25" s="20" t="n"/>
      <c r="F25" s="22">
        <f>IF(B25="","",COUNTIF(E26:E30,"x")/5)</f>
        <v/>
      </c>
    </row>
    <row r="26">
      <c r="B26" s="50" t="inlineStr">
        <is>
          <t>Step 1</t>
        </is>
      </c>
      <c r="C26" s="30" t="n"/>
      <c r="D26" s="32" t="n"/>
      <c r="E26" s="48" t="n"/>
    </row>
    <row r="27">
      <c r="B27" s="50" t="inlineStr">
        <is>
          <t>Step 2</t>
        </is>
      </c>
      <c r="C27" s="30" t="n"/>
      <c r="D27" s="32" t="n"/>
      <c r="E27" s="48" t="n"/>
    </row>
    <row r="28">
      <c r="B28" s="50" t="inlineStr">
        <is>
          <t>Step 3</t>
        </is>
      </c>
      <c r="C28" s="30" t="n"/>
      <c r="D28" s="32" t="n"/>
      <c r="E28" s="48" t="n"/>
    </row>
    <row r="29">
      <c r="B29" s="50" t="inlineStr">
        <is>
          <t>Step 4</t>
        </is>
      </c>
      <c r="C29" s="30" t="n"/>
      <c r="D29" s="32" t="n"/>
      <c r="E29" s="48" t="n"/>
    </row>
    <row r="30">
      <c r="B30" s="50" t="inlineStr">
        <is>
          <t>Step 5</t>
        </is>
      </c>
      <c r="C30" s="30" t="n"/>
      <c r="D30" s="32" t="n"/>
      <c r="E30" s="48" t="n"/>
    </row>
    <row r="31">
      <c r="B31" s="50" t="inlineStr">
        <is>
          <t>Reward</t>
        </is>
      </c>
      <c r="C31" s="30" t="n"/>
    </row>
    <row r="33" ht="28" customHeight="1">
      <c r="B33" s="23" t="inlineStr">
        <is>
          <t>Goal</t>
        </is>
      </c>
      <c r="C33" s="23" t="inlineStr">
        <is>
          <t>Why it matters</t>
        </is>
      </c>
      <c r="D33" s="23" t="inlineStr">
        <is>
          <t>Deadline</t>
        </is>
      </c>
      <c r="E33" s="23" t="inlineStr">
        <is>
          <t>Done</t>
        </is>
      </c>
      <c r="F33" s="23" t="inlineStr">
        <is>
          <t>Progress</t>
        </is>
      </c>
    </row>
    <row r="34">
      <c r="B34" s="30" t="n"/>
      <c r="C34" s="30" t="n"/>
      <c r="D34" s="32" t="n"/>
      <c r="E34" s="20" t="n"/>
      <c r="F34" s="22">
        <f>IF(B34="","",COUNTIF(E35:E39,"x")/5)</f>
        <v/>
      </c>
    </row>
    <row r="35">
      <c r="B35" s="50" t="inlineStr">
        <is>
          <t>Step 1</t>
        </is>
      </c>
      <c r="C35" s="30" t="n"/>
      <c r="D35" s="32" t="n"/>
      <c r="E35" s="48" t="n"/>
    </row>
    <row r="36">
      <c r="B36" s="50" t="inlineStr">
        <is>
          <t>Step 2</t>
        </is>
      </c>
      <c r="C36" s="30" t="n"/>
      <c r="D36" s="32" t="n"/>
      <c r="E36" s="48" t="n"/>
    </row>
    <row r="37">
      <c r="B37" s="50" t="inlineStr">
        <is>
          <t>Step 3</t>
        </is>
      </c>
      <c r="C37" s="30" t="n"/>
      <c r="D37" s="32" t="n"/>
      <c r="E37" s="48" t="n"/>
    </row>
    <row r="38">
      <c r="B38" s="50" t="inlineStr">
        <is>
          <t>Step 4</t>
        </is>
      </c>
      <c r="C38" s="30" t="n"/>
      <c r="D38" s="32" t="n"/>
      <c r="E38" s="48" t="n"/>
    </row>
    <row r="39">
      <c r="B39" s="50" t="inlineStr">
        <is>
          <t>Step 5</t>
        </is>
      </c>
      <c r="C39" s="30" t="n"/>
      <c r="D39" s="32" t="n"/>
      <c r="E39" s="48" t="n"/>
    </row>
    <row r="40">
      <c r="B40" s="50" t="inlineStr">
        <is>
          <t>Reward</t>
        </is>
      </c>
      <c r="C40" s="30" t="n"/>
    </row>
    <row r="42" ht="28" customHeight="1">
      <c r="B42" s="18" t="inlineStr">
        <is>
          <t>Goal</t>
        </is>
      </c>
      <c r="C42" s="18" t="inlineStr">
        <is>
          <t>Why it matters</t>
        </is>
      </c>
      <c r="D42" s="18" t="inlineStr">
        <is>
          <t>Deadline</t>
        </is>
      </c>
      <c r="E42" s="18" t="inlineStr">
        <is>
          <t>Done</t>
        </is>
      </c>
      <c r="F42" s="18" t="inlineStr">
        <is>
          <t>Progress</t>
        </is>
      </c>
    </row>
    <row r="43">
      <c r="B43" s="30" t="n"/>
      <c r="C43" s="30" t="n"/>
      <c r="D43" s="32" t="n"/>
      <c r="E43" s="20" t="n"/>
      <c r="F43" s="22">
        <f>IF(B43="","",COUNTIF(E44:E48,"x")/5)</f>
        <v/>
      </c>
    </row>
    <row r="44">
      <c r="B44" s="50" t="inlineStr">
        <is>
          <t>Step 1</t>
        </is>
      </c>
      <c r="C44" s="30" t="n"/>
      <c r="D44" s="32" t="n"/>
      <c r="E44" s="48" t="n"/>
    </row>
    <row r="45">
      <c r="B45" s="50" t="inlineStr">
        <is>
          <t>Step 2</t>
        </is>
      </c>
      <c r="C45" s="30" t="n"/>
      <c r="D45" s="32" t="n"/>
      <c r="E45" s="48" t="n"/>
    </row>
    <row r="46">
      <c r="B46" s="50" t="inlineStr">
        <is>
          <t>Step 3</t>
        </is>
      </c>
      <c r="C46" s="30" t="n"/>
      <c r="D46" s="32" t="n"/>
      <c r="E46" s="48" t="n"/>
    </row>
    <row r="47">
      <c r="B47" s="50" t="inlineStr">
        <is>
          <t>Step 4</t>
        </is>
      </c>
      <c r="C47" s="30" t="n"/>
      <c r="D47" s="32" t="n"/>
      <c r="E47" s="48" t="n"/>
    </row>
    <row r="48">
      <c r="B48" s="50" t="inlineStr">
        <is>
          <t>Step 5</t>
        </is>
      </c>
      <c r="C48" s="30" t="n"/>
      <c r="D48" s="32" t="n"/>
      <c r="E48" s="48" t="n"/>
    </row>
    <row r="49">
      <c r="B49" s="50" t="inlineStr">
        <is>
          <t>Reward</t>
        </is>
      </c>
      <c r="C49" s="30" t="n"/>
    </row>
    <row r="51" ht="28" customHeight="1">
      <c r="B51" s="23" t="inlineStr">
        <is>
          <t>Goal</t>
        </is>
      </c>
      <c r="C51" s="23" t="inlineStr">
        <is>
          <t>Why it matters</t>
        </is>
      </c>
      <c r="D51" s="23" t="inlineStr">
        <is>
          <t>Deadline</t>
        </is>
      </c>
      <c r="E51" s="23" t="inlineStr">
        <is>
          <t>Done</t>
        </is>
      </c>
      <c r="F51" s="23" t="inlineStr">
        <is>
          <t>Progress</t>
        </is>
      </c>
    </row>
    <row r="52">
      <c r="B52" s="30" t="n"/>
      <c r="C52" s="30" t="n"/>
      <c r="D52" s="32" t="n"/>
      <c r="E52" s="20" t="n"/>
      <c r="F52" s="22">
        <f>IF(B52="","",COUNTIF(E53:E57,"x")/5)</f>
        <v/>
      </c>
    </row>
    <row r="53">
      <c r="B53" s="50" t="inlineStr">
        <is>
          <t>Step 1</t>
        </is>
      </c>
      <c r="C53" s="30" t="n"/>
      <c r="D53" s="32" t="n"/>
      <c r="E53" s="48" t="n"/>
    </row>
    <row r="54">
      <c r="B54" s="50" t="inlineStr">
        <is>
          <t>Step 2</t>
        </is>
      </c>
      <c r="C54" s="30" t="n"/>
      <c r="D54" s="32" t="n"/>
      <c r="E54" s="48" t="n"/>
    </row>
    <row r="55">
      <c r="B55" s="50" t="inlineStr">
        <is>
          <t>Step 3</t>
        </is>
      </c>
      <c r="C55" s="30" t="n"/>
      <c r="D55" s="32" t="n"/>
      <c r="E55" s="48" t="n"/>
    </row>
    <row r="56">
      <c r="B56" s="50" t="inlineStr">
        <is>
          <t>Step 4</t>
        </is>
      </c>
      <c r="C56" s="30" t="n"/>
      <c r="D56" s="32" t="n"/>
      <c r="E56" s="48" t="n"/>
    </row>
    <row r="57">
      <c r="B57" s="50" t="inlineStr">
        <is>
          <t>Step 5</t>
        </is>
      </c>
      <c r="C57" s="30" t="n"/>
      <c r="D57" s="32" t="n"/>
      <c r="E57" s="48" t="n"/>
    </row>
    <row r="58">
      <c r="B58" s="50" t="inlineStr">
        <is>
          <t>Reward</t>
        </is>
      </c>
      <c r="C58" s="30" t="n"/>
    </row>
    <row r="60" ht="28" customHeight="1">
      <c r="B60" s="18" t="inlineStr">
        <is>
          <t>Goal</t>
        </is>
      </c>
      <c r="C60" s="18" t="inlineStr">
        <is>
          <t>Why it matters</t>
        </is>
      </c>
      <c r="D60" s="18" t="inlineStr">
        <is>
          <t>Deadline</t>
        </is>
      </c>
      <c r="E60" s="18" t="inlineStr">
        <is>
          <t>Done</t>
        </is>
      </c>
      <c r="F60" s="18" t="inlineStr">
        <is>
          <t>Progress</t>
        </is>
      </c>
    </row>
    <row r="61">
      <c r="B61" s="30" t="n"/>
      <c r="C61" s="30" t="n"/>
      <c r="D61" s="32" t="n"/>
      <c r="E61" s="20" t="n"/>
      <c r="F61" s="22">
        <f>IF(B61="","",COUNTIF(E62:E66,"x")/5)</f>
        <v/>
      </c>
    </row>
    <row r="62">
      <c r="B62" s="50" t="inlineStr">
        <is>
          <t>Step 1</t>
        </is>
      </c>
      <c r="C62" s="30" t="n"/>
      <c r="D62" s="32" t="n"/>
      <c r="E62" s="48" t="n"/>
    </row>
    <row r="63">
      <c r="B63" s="50" t="inlineStr">
        <is>
          <t>Step 2</t>
        </is>
      </c>
      <c r="C63" s="30" t="n"/>
      <c r="D63" s="32" t="n"/>
      <c r="E63" s="48" t="n"/>
    </row>
    <row r="64">
      <c r="B64" s="50" t="inlineStr">
        <is>
          <t>Step 3</t>
        </is>
      </c>
      <c r="C64" s="30" t="n"/>
      <c r="D64" s="32" t="n"/>
      <c r="E64" s="48" t="n"/>
    </row>
    <row r="65">
      <c r="B65" s="50" t="inlineStr">
        <is>
          <t>Step 4</t>
        </is>
      </c>
      <c r="C65" s="30" t="n"/>
      <c r="D65" s="32" t="n"/>
      <c r="E65" s="48" t="n"/>
    </row>
    <row r="66">
      <c r="B66" s="50" t="inlineStr">
        <is>
          <t>Step 5</t>
        </is>
      </c>
      <c r="C66" s="30" t="n"/>
      <c r="D66" s="32" t="n"/>
      <c r="E66" s="48" t="n"/>
    </row>
    <row r="67">
      <c r="B67" s="50" t="inlineStr">
        <is>
          <t>Reward</t>
        </is>
      </c>
      <c r="C67" s="30" t="n"/>
    </row>
    <row r="69" ht="28" customHeight="1">
      <c r="B69" s="23" t="inlineStr">
        <is>
          <t>Goal</t>
        </is>
      </c>
      <c r="C69" s="23" t="inlineStr">
        <is>
          <t>Why it matters</t>
        </is>
      </c>
      <c r="D69" s="23" t="inlineStr">
        <is>
          <t>Deadline</t>
        </is>
      </c>
      <c r="E69" s="23" t="inlineStr">
        <is>
          <t>Done</t>
        </is>
      </c>
      <c r="F69" s="23" t="inlineStr">
        <is>
          <t>Progress</t>
        </is>
      </c>
    </row>
    <row r="70">
      <c r="B70" s="30" t="n"/>
      <c r="C70" s="30" t="n"/>
      <c r="D70" s="32" t="n"/>
      <c r="E70" s="20" t="n"/>
      <c r="F70" s="22">
        <f>IF(B70="","",COUNTIF(E71:E75,"x")/5)</f>
        <v/>
      </c>
    </row>
    <row r="71">
      <c r="B71" s="50" t="inlineStr">
        <is>
          <t>Step 1</t>
        </is>
      </c>
      <c r="C71" s="30" t="n"/>
      <c r="D71" s="32" t="n"/>
      <c r="E71" s="48" t="n"/>
    </row>
    <row r="72">
      <c r="B72" s="50" t="inlineStr">
        <is>
          <t>Step 2</t>
        </is>
      </c>
      <c r="C72" s="30" t="n"/>
      <c r="D72" s="32" t="n"/>
      <c r="E72" s="48" t="n"/>
    </row>
    <row r="73">
      <c r="B73" s="50" t="inlineStr">
        <is>
          <t>Step 3</t>
        </is>
      </c>
      <c r="C73" s="30" t="n"/>
      <c r="D73" s="32" t="n"/>
      <c r="E73" s="48" t="n"/>
    </row>
    <row r="74">
      <c r="B74" s="50" t="inlineStr">
        <is>
          <t>Step 4</t>
        </is>
      </c>
      <c r="C74" s="30" t="n"/>
      <c r="D74" s="32" t="n"/>
      <c r="E74" s="48" t="n"/>
    </row>
    <row r="75">
      <c r="B75" s="50" t="inlineStr">
        <is>
          <t>Step 5</t>
        </is>
      </c>
      <c r="C75" s="30" t="n"/>
      <c r="D75" s="32" t="n"/>
      <c r="E75" s="48" t="n"/>
    </row>
    <row r="76">
      <c r="B76" s="50" t="inlineStr">
        <is>
          <t>Reward</t>
        </is>
      </c>
      <c r="C76" s="30" t="n"/>
    </row>
    <row r="78" ht="28" customHeight="1">
      <c r="B78" s="18" t="inlineStr">
        <is>
          <t>Goal</t>
        </is>
      </c>
      <c r="C78" s="18" t="inlineStr">
        <is>
          <t>Why it matters</t>
        </is>
      </c>
      <c r="D78" s="18" t="inlineStr">
        <is>
          <t>Deadline</t>
        </is>
      </c>
      <c r="E78" s="18" t="inlineStr">
        <is>
          <t>Done</t>
        </is>
      </c>
      <c r="F78" s="18" t="inlineStr">
        <is>
          <t>Progress</t>
        </is>
      </c>
    </row>
    <row r="79">
      <c r="B79" s="30" t="n"/>
      <c r="C79" s="30" t="n"/>
      <c r="D79" s="32" t="n"/>
      <c r="E79" s="20" t="n"/>
      <c r="F79" s="22">
        <f>IF(B79="","",COUNTIF(E80:E84,"x")/5)</f>
        <v/>
      </c>
    </row>
    <row r="80">
      <c r="B80" s="50" t="inlineStr">
        <is>
          <t>Step 1</t>
        </is>
      </c>
      <c r="C80" s="30" t="n"/>
      <c r="D80" s="32" t="n"/>
      <c r="E80" s="48" t="n"/>
    </row>
    <row r="81">
      <c r="B81" s="50" t="inlineStr">
        <is>
          <t>Step 2</t>
        </is>
      </c>
      <c r="C81" s="30" t="n"/>
      <c r="D81" s="32" t="n"/>
      <c r="E81" s="48" t="n"/>
    </row>
    <row r="82">
      <c r="B82" s="50" t="inlineStr">
        <is>
          <t>Step 3</t>
        </is>
      </c>
      <c r="C82" s="30" t="n"/>
      <c r="D82" s="32" t="n"/>
      <c r="E82" s="48" t="n"/>
    </row>
    <row r="83">
      <c r="B83" s="50" t="inlineStr">
        <is>
          <t>Step 4</t>
        </is>
      </c>
      <c r="C83" s="30" t="n"/>
      <c r="D83" s="32" t="n"/>
      <c r="E83" s="48" t="n"/>
    </row>
    <row r="84">
      <c r="B84" s="50" t="inlineStr">
        <is>
          <t>Step 5</t>
        </is>
      </c>
      <c r="C84" s="30" t="n"/>
      <c r="D84" s="32" t="n"/>
      <c r="E84" s="48" t="n"/>
    </row>
    <row r="85">
      <c r="B85" s="50" t="inlineStr">
        <is>
          <t>Reward</t>
        </is>
      </c>
      <c r="C85" s="30" t="n"/>
    </row>
    <row r="87" ht="28" customHeight="1">
      <c r="B87" s="23" t="inlineStr">
        <is>
          <t>Goal</t>
        </is>
      </c>
      <c r="C87" s="23" t="inlineStr">
        <is>
          <t>Why it matters</t>
        </is>
      </c>
      <c r="D87" s="23" t="inlineStr">
        <is>
          <t>Deadline</t>
        </is>
      </c>
      <c r="E87" s="23" t="inlineStr">
        <is>
          <t>Done</t>
        </is>
      </c>
      <c r="F87" s="23" t="inlineStr">
        <is>
          <t>Progress</t>
        </is>
      </c>
    </row>
    <row r="88">
      <c r="B88" s="30" t="n"/>
      <c r="C88" s="30" t="n"/>
      <c r="D88" s="32" t="n"/>
      <c r="E88" s="20" t="n"/>
      <c r="F88" s="22">
        <f>IF(B88="","",COUNTIF(E89:E93,"x")/5)</f>
        <v/>
      </c>
    </row>
    <row r="89">
      <c r="B89" s="50" t="inlineStr">
        <is>
          <t>Step 1</t>
        </is>
      </c>
      <c r="C89" s="30" t="n"/>
      <c r="D89" s="32" t="n"/>
      <c r="E89" s="48" t="n"/>
    </row>
    <row r="90">
      <c r="B90" s="50" t="inlineStr">
        <is>
          <t>Step 2</t>
        </is>
      </c>
      <c r="C90" s="30" t="n"/>
      <c r="D90" s="32" t="n"/>
      <c r="E90" s="48" t="n"/>
    </row>
    <row r="91">
      <c r="B91" s="50" t="inlineStr">
        <is>
          <t>Step 3</t>
        </is>
      </c>
      <c r="C91" s="30" t="n"/>
      <c r="D91" s="32" t="n"/>
      <c r="E91" s="48" t="n"/>
    </row>
    <row r="92">
      <c r="B92" s="50" t="inlineStr">
        <is>
          <t>Step 4</t>
        </is>
      </c>
      <c r="C92" s="30" t="n"/>
      <c r="D92" s="32" t="n"/>
      <c r="E92" s="48" t="n"/>
    </row>
    <row r="93">
      <c r="B93" s="50" t="inlineStr">
        <is>
          <t>Step 5</t>
        </is>
      </c>
      <c r="C93" s="30" t="n"/>
      <c r="D93" s="32" t="n"/>
      <c r="E93" s="48" t="n"/>
    </row>
    <row r="94">
      <c r="B94" s="50" t="inlineStr">
        <is>
          <t>Reward</t>
        </is>
      </c>
      <c r="C94" s="30" t="n"/>
    </row>
  </sheetData>
  <conditionalFormatting sqref="F7">
    <cfRule type="dataBar" priority="1">
      <dataBar>
        <cfvo type="num" val="0"/>
        <cfvo type="num" val="1"/>
        <color rgb="00A8C3A0"/>
      </dataBar>
    </cfRule>
  </conditionalFormatting>
  <conditionalFormatting sqref="F16">
    <cfRule type="dataBar" priority="2">
      <dataBar>
        <cfvo type="num" val="0"/>
        <cfvo type="num" val="1"/>
        <color rgb="00A8C3A0"/>
      </dataBar>
    </cfRule>
  </conditionalFormatting>
  <conditionalFormatting sqref="F25">
    <cfRule type="dataBar" priority="3">
      <dataBar>
        <cfvo type="num" val="0"/>
        <cfvo type="num" val="1"/>
        <color rgb="00A8C3A0"/>
      </dataBar>
    </cfRule>
  </conditionalFormatting>
  <conditionalFormatting sqref="F34">
    <cfRule type="dataBar" priority="4">
      <dataBar>
        <cfvo type="num" val="0"/>
        <cfvo type="num" val="1"/>
        <color rgb="00A8C3A0"/>
      </dataBar>
    </cfRule>
  </conditionalFormatting>
  <conditionalFormatting sqref="F43">
    <cfRule type="dataBar" priority="5">
      <dataBar>
        <cfvo type="num" val="0"/>
        <cfvo type="num" val="1"/>
        <color rgb="00A8C3A0"/>
      </dataBar>
    </cfRule>
  </conditionalFormatting>
  <conditionalFormatting sqref="F52">
    <cfRule type="dataBar" priority="6">
      <dataBar>
        <cfvo type="num" val="0"/>
        <cfvo type="num" val="1"/>
        <color rgb="00A8C3A0"/>
      </dataBar>
    </cfRule>
  </conditionalFormatting>
  <conditionalFormatting sqref="F61">
    <cfRule type="dataBar" priority="7">
      <dataBar>
        <cfvo type="num" val="0"/>
        <cfvo type="num" val="1"/>
        <color rgb="00A8C3A0"/>
      </dataBar>
    </cfRule>
  </conditionalFormatting>
  <conditionalFormatting sqref="F70">
    <cfRule type="dataBar" priority="8">
      <dataBar>
        <cfvo type="num" val="0"/>
        <cfvo type="num" val="1"/>
        <color rgb="00A8C3A0"/>
      </dataBar>
    </cfRule>
  </conditionalFormatting>
  <conditionalFormatting sqref="F79">
    <cfRule type="dataBar" priority="9">
      <dataBar>
        <cfvo type="num" val="0"/>
        <cfvo type="num" val="1"/>
        <color rgb="00A8C3A0"/>
      </dataBar>
    </cfRule>
  </conditionalFormatting>
  <conditionalFormatting sqref="F88">
    <cfRule type="dataBar" priority="10">
      <dataBar>
        <cfvo type="num" val="0"/>
        <cfvo type="num" val="1"/>
        <color rgb="00A8C3A0"/>
      </dataBar>
    </cfRule>
  </conditionalFormatting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J35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2" t="inlineStr">
        <is>
          <t>Weekly Planner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Plan your week by the hour. Type the Monday date once.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8" customHeight="1"/>
    <row r="5">
      <c r="B5" s="16" t="inlineStr">
        <is>
          <t>Week of</t>
        </is>
      </c>
      <c r="C5" s="51">
        <f>TODAY()-WEEKDAY(TODAY(),3)</f>
        <v/>
      </c>
    </row>
    <row r="6" ht="28" customHeight="1">
      <c r="B6" s="19" t="inlineStr">
        <is>
          <t>Time</t>
        </is>
      </c>
      <c r="C6" s="19" t="inlineStr">
        <is>
          <t>Monday</t>
        </is>
      </c>
      <c r="D6" s="19" t="inlineStr">
        <is>
          <t>Tuesday</t>
        </is>
      </c>
      <c r="E6" s="19" t="inlineStr">
        <is>
          <t>Wednesday</t>
        </is>
      </c>
      <c r="F6" s="19" t="inlineStr">
        <is>
          <t>Thursday</t>
        </is>
      </c>
      <c r="G6" s="19" t="inlineStr">
        <is>
          <t>Friday</t>
        </is>
      </c>
      <c r="H6" s="19" t="inlineStr">
        <is>
          <t>Saturday</t>
        </is>
      </c>
      <c r="I6" s="19" t="inlineStr">
        <is>
          <t>Sunday</t>
        </is>
      </c>
    </row>
    <row r="7">
      <c r="B7" s="20" t="inlineStr"/>
      <c r="C7" s="52">
        <f>$C$5+0</f>
        <v/>
      </c>
      <c r="D7" s="52">
        <f>$C$5+1</f>
        <v/>
      </c>
      <c r="E7" s="52">
        <f>$C$5+2</f>
        <v/>
      </c>
      <c r="F7" s="52">
        <f>$C$5+3</f>
        <v/>
      </c>
      <c r="G7" s="52">
        <f>$C$5+4</f>
        <v/>
      </c>
      <c r="H7" s="52">
        <f>$C$5+5</f>
        <v/>
      </c>
      <c r="I7" s="52">
        <f>$C$5+6</f>
        <v/>
      </c>
    </row>
    <row r="8" ht="22" customHeight="1">
      <c r="B8" s="53" t="inlineStr">
        <is>
          <t>06:00</t>
        </is>
      </c>
      <c r="C8" s="30" t="n"/>
      <c r="D8" s="30" t="n"/>
      <c r="E8" s="30" t="n"/>
      <c r="F8" s="30" t="n"/>
      <c r="G8" s="30" t="n"/>
      <c r="H8" s="30" t="n"/>
      <c r="I8" s="30" t="n"/>
    </row>
    <row r="9" ht="22" customHeight="1">
      <c r="B9" s="53" t="inlineStr">
        <is>
          <t>07:00</t>
        </is>
      </c>
      <c r="C9" s="30" t="inlineStr">
        <is>
          <t>Gym</t>
        </is>
      </c>
      <c r="D9" s="30" t="n"/>
      <c r="E9" s="30" t="n"/>
      <c r="F9" s="30" t="n"/>
      <c r="G9" s="30" t="n"/>
      <c r="H9" s="30" t="n"/>
      <c r="I9" s="30" t="n"/>
    </row>
    <row r="10" ht="22" customHeight="1">
      <c r="B10" s="53" t="inlineStr">
        <is>
          <t>08:00</t>
        </is>
      </c>
      <c r="C10" s="30" t="n"/>
      <c r="D10" s="30" t="n"/>
      <c r="E10" s="30" t="n"/>
      <c r="F10" s="30" t="n"/>
      <c r="G10" s="30" t="n"/>
      <c r="H10" s="30" t="n"/>
      <c r="I10" s="30" t="n"/>
    </row>
    <row r="11" ht="22" customHeight="1">
      <c r="B11" s="53" t="inlineStr">
        <is>
          <t>09:00</t>
        </is>
      </c>
      <c r="C11" s="30" t="inlineStr">
        <is>
          <t>Team meeting</t>
        </is>
      </c>
      <c r="D11" s="30" t="n"/>
      <c r="E11" s="30" t="n"/>
      <c r="F11" s="30" t="inlineStr">
        <is>
          <t>Report due</t>
        </is>
      </c>
      <c r="G11" s="30" t="n"/>
      <c r="H11" s="30" t="n"/>
      <c r="I11" s="30" t="inlineStr">
        <is>
          <t>Long run</t>
        </is>
      </c>
    </row>
    <row r="12" ht="22" customHeight="1">
      <c r="B12" s="53" t="inlineStr">
        <is>
          <t>10:00</t>
        </is>
      </c>
      <c r="C12" s="30" t="n"/>
      <c r="D12" s="30" t="n"/>
      <c r="E12" s="30" t="n"/>
      <c r="F12" s="30" t="n"/>
      <c r="G12" s="30" t="n"/>
      <c r="H12" s="30" t="inlineStr">
        <is>
          <t>Kids swim class</t>
        </is>
      </c>
      <c r="I12" s="30" t="n"/>
    </row>
    <row r="13" ht="22" customHeight="1">
      <c r="B13" s="53" t="inlineStr">
        <is>
          <t>11:00</t>
        </is>
      </c>
      <c r="C13" s="30" t="n"/>
      <c r="D13" s="30" t="n"/>
      <c r="E13" s="30" t="n"/>
      <c r="F13" s="30" t="n"/>
      <c r="G13" s="30" t="n"/>
      <c r="H13" s="30" t="n"/>
      <c r="I13" s="30" t="n"/>
    </row>
    <row r="14" ht="22" customHeight="1">
      <c r="B14" s="53" t="inlineStr">
        <is>
          <t>12:00</t>
        </is>
      </c>
      <c r="C14" s="30" t="n"/>
      <c r="D14" s="30" t="inlineStr">
        <is>
          <t>Lunch with Sam</t>
        </is>
      </c>
      <c r="E14" s="30" t="n"/>
      <c r="F14" s="30" t="n"/>
      <c r="G14" s="30" t="n"/>
      <c r="H14" s="30" t="n"/>
      <c r="I14" s="30" t="n"/>
    </row>
    <row r="15" ht="22" customHeight="1">
      <c r="B15" s="53" t="inlineStr">
        <is>
          <t>13:00</t>
        </is>
      </c>
      <c r="C15" s="30" t="n"/>
      <c r="D15" s="30" t="n"/>
      <c r="E15" s="30" t="n"/>
      <c r="F15" s="30" t="n"/>
      <c r="G15" s="30" t="n"/>
      <c r="H15" s="30" t="n"/>
      <c r="I15" s="30" t="n"/>
    </row>
    <row r="16" ht="22" customHeight="1">
      <c r="B16" s="53" t="inlineStr">
        <is>
          <t>14:00</t>
        </is>
      </c>
      <c r="C16" s="30" t="n"/>
      <c r="D16" s="30" t="n"/>
      <c r="E16" s="30" t="n"/>
      <c r="F16" s="30" t="n"/>
      <c r="G16" s="30" t="n"/>
      <c r="H16" s="30" t="n"/>
      <c r="I16" s="30" t="n"/>
    </row>
    <row r="17" ht="22" customHeight="1">
      <c r="B17" s="53" t="inlineStr">
        <is>
          <t>15:00</t>
        </is>
      </c>
      <c r="C17" s="30" t="n"/>
      <c r="D17" s="30" t="n"/>
      <c r="E17" s="30" t="n"/>
      <c r="F17" s="30" t="n"/>
      <c r="G17" s="30" t="n"/>
      <c r="H17" s="30" t="n"/>
      <c r="I17" s="30" t="n"/>
    </row>
    <row r="18" ht="22" customHeight="1">
      <c r="B18" s="53" t="inlineStr">
        <is>
          <t>16:00</t>
        </is>
      </c>
      <c r="C18" s="30" t="n"/>
      <c r="D18" s="30" t="n"/>
      <c r="E18" s="30" t="n"/>
      <c r="F18" s="30" t="n"/>
      <c r="G18" s="30" t="n"/>
      <c r="H18" s="30" t="n"/>
      <c r="I18" s="30" t="inlineStr">
        <is>
          <t>Plan next week</t>
        </is>
      </c>
    </row>
    <row r="19" ht="22" customHeight="1">
      <c r="B19" s="53" t="inlineStr">
        <is>
          <t>17:00</t>
        </is>
      </c>
      <c r="C19" s="30" t="n"/>
      <c r="D19" s="30" t="n"/>
      <c r="E19" s="30" t="n"/>
      <c r="F19" s="30" t="n"/>
      <c r="G19" s="30" t="inlineStr">
        <is>
          <t>Groceries</t>
        </is>
      </c>
      <c r="H19" s="30" t="n"/>
      <c r="I19" s="30" t="n"/>
    </row>
    <row r="20" ht="22" customHeight="1">
      <c r="B20" s="53" t="inlineStr">
        <is>
          <t>18:00</t>
        </is>
      </c>
      <c r="C20" s="30" t="n"/>
      <c r="D20" s="30" t="n"/>
      <c r="E20" s="30" t="inlineStr">
        <is>
          <t>Meal prep</t>
        </is>
      </c>
      <c r="F20" s="30" t="n"/>
      <c r="G20" s="30" t="n"/>
      <c r="H20" s="30" t="n"/>
      <c r="I20" s="30" t="n"/>
    </row>
    <row r="21" ht="22" customHeight="1">
      <c r="B21" s="53" t="inlineStr">
        <is>
          <t>19:00</t>
        </is>
      </c>
      <c r="C21" s="30" t="n"/>
      <c r="D21" s="30" t="n"/>
      <c r="E21" s="30" t="n"/>
      <c r="F21" s="30" t="n"/>
      <c r="G21" s="30" t="n"/>
      <c r="H21" s="30" t="n"/>
      <c r="I21" s="30" t="n"/>
    </row>
    <row r="22" ht="22" customHeight="1">
      <c r="B22" s="53" t="inlineStr">
        <is>
          <t>20:00</t>
        </is>
      </c>
      <c r="C22" s="30" t="n"/>
      <c r="D22" s="30" t="n"/>
      <c r="E22" s="30" t="n"/>
      <c r="F22" s="30" t="n"/>
      <c r="G22" s="30" t="n"/>
      <c r="H22" s="30" t="n"/>
      <c r="I22" s="30" t="n"/>
    </row>
    <row r="23" ht="22" customHeight="1">
      <c r="B23" s="53" t="inlineStr">
        <is>
          <t>21:00</t>
        </is>
      </c>
      <c r="C23" s="30" t="n"/>
      <c r="D23" s="30" t="n"/>
      <c r="E23" s="30" t="n"/>
      <c r="F23" s="30" t="n"/>
      <c r="G23" s="30" t="n"/>
      <c r="H23" s="30" t="n"/>
      <c r="I23" s="30" t="n"/>
    </row>
    <row r="24" ht="22" customHeight="1">
      <c r="B24" s="53" t="inlineStr">
        <is>
          <t>22:00</t>
        </is>
      </c>
      <c r="C24" s="30" t="n"/>
      <c r="D24" s="30" t="n"/>
      <c r="E24" s="30" t="n"/>
      <c r="F24" s="30" t="n"/>
      <c r="G24" s="30" t="n"/>
      <c r="H24" s="30" t="n"/>
      <c r="I24" s="30" t="n"/>
    </row>
    <row r="27">
      <c r="B27" s="44" t="inlineStr">
        <is>
          <t>Top 3 this week</t>
        </is>
      </c>
      <c r="C27" s="54" t="n"/>
      <c r="D27" s="54" t="n"/>
      <c r="E27" s="54" t="n"/>
      <c r="F27" s="54" t="n"/>
      <c r="G27" s="54" t="n"/>
      <c r="H27" s="54" t="n"/>
      <c r="I27" s="10" t="n"/>
    </row>
    <row r="28">
      <c r="B28" s="30" t="n"/>
      <c r="C28" s="30" t="n"/>
      <c r="D28" s="30" t="n"/>
      <c r="E28" s="30" t="n"/>
      <c r="F28" s="30" t="n"/>
      <c r="G28" s="30" t="n"/>
      <c r="H28" s="30" t="n"/>
      <c r="I28" s="30" t="n"/>
    </row>
    <row r="29">
      <c r="B29" s="30" t="n"/>
      <c r="C29" s="30" t="n"/>
      <c r="D29" s="30" t="n"/>
      <c r="E29" s="30" t="n"/>
      <c r="F29" s="30" t="n"/>
      <c r="G29" s="30" t="n"/>
      <c r="H29" s="30" t="n"/>
      <c r="I29" s="30" t="n"/>
    </row>
    <row r="30">
      <c r="B30" s="30" t="n"/>
      <c r="C30" s="30" t="n"/>
      <c r="D30" s="30" t="n"/>
      <c r="E30" s="30" t="n"/>
      <c r="F30" s="30" t="n"/>
      <c r="G30" s="30" t="n"/>
      <c r="H30" s="30" t="n"/>
      <c r="I30" s="30" t="n"/>
    </row>
    <row r="32">
      <c r="B32" s="44" t="inlineStr">
        <is>
          <t>Notes</t>
        </is>
      </c>
      <c r="C32" s="54" t="n"/>
      <c r="D32" s="54" t="n"/>
      <c r="E32" s="54" t="n"/>
      <c r="F32" s="54" t="n"/>
      <c r="G32" s="54" t="n"/>
      <c r="H32" s="54" t="n"/>
      <c r="I32" s="10" t="n"/>
    </row>
    <row r="33">
      <c r="B33" s="30" t="n"/>
      <c r="C33" s="30" t="n"/>
      <c r="D33" s="30" t="n"/>
      <c r="E33" s="30" t="n"/>
      <c r="F33" s="30" t="n"/>
      <c r="G33" s="30" t="n"/>
      <c r="H33" s="30" t="n"/>
      <c r="I33" s="30" t="n"/>
    </row>
    <row r="34">
      <c r="B34" s="30" t="n"/>
      <c r="C34" s="30" t="n"/>
      <c r="D34" s="30" t="n"/>
      <c r="E34" s="30" t="n"/>
      <c r="F34" s="30" t="n"/>
      <c r="G34" s="30" t="n"/>
      <c r="H34" s="30" t="n"/>
      <c r="I34" s="30" t="n"/>
    </row>
    <row r="35">
      <c r="B35" s="30" t="n"/>
      <c r="C35" s="30" t="n"/>
      <c r="D35" s="30" t="n"/>
      <c r="E35" s="30" t="n"/>
      <c r="F35" s="30" t="n"/>
      <c r="G35" s="30" t="n"/>
      <c r="H35" s="30" t="n"/>
      <c r="I35" s="30" t="n"/>
    </row>
  </sheetData>
  <mergeCells count="3">
    <mergeCell ref="B27:I27"/>
    <mergeCell ref="B32:I32"/>
    <mergeCell ref="C5:D5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J29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2" t="inlineStr">
        <is>
          <t>Meal Planner &amp; Grocery List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Plan the week, then list what to buy by aisle. Tick items with x as you shop.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8" customHeight="1"/>
    <row r="6" ht="28" customHeight="1">
      <c r="B6" s="19" t="inlineStr"/>
      <c r="C6" s="19" t="inlineStr">
        <is>
          <t>Monday</t>
        </is>
      </c>
      <c r="D6" s="19" t="inlineStr">
        <is>
          <t>Tuesday</t>
        </is>
      </c>
      <c r="E6" s="19" t="inlineStr">
        <is>
          <t>Wednesday</t>
        </is>
      </c>
      <c r="F6" s="19" t="inlineStr">
        <is>
          <t>Thursday</t>
        </is>
      </c>
      <c r="G6" s="19" t="inlineStr">
        <is>
          <t>Friday</t>
        </is>
      </c>
      <c r="H6" s="19" t="inlineStr">
        <is>
          <t>Saturday</t>
        </is>
      </c>
      <c r="I6" s="19" t="inlineStr">
        <is>
          <t>Sunday</t>
        </is>
      </c>
    </row>
    <row r="7" ht="34" customHeight="1">
      <c r="B7" s="55" t="inlineStr">
        <is>
          <t>Breakfast</t>
        </is>
      </c>
      <c r="C7" s="27" t="inlineStr">
        <is>
          <t>Oats &amp; berries</t>
        </is>
      </c>
      <c r="D7" s="27" t="inlineStr">
        <is>
          <t>Yogurt &amp; granola</t>
        </is>
      </c>
      <c r="E7" s="27" t="inlineStr">
        <is>
          <t>Eggs on toast</t>
        </is>
      </c>
      <c r="F7" s="27" t="inlineStr">
        <is>
          <t>Oats &amp; berries</t>
        </is>
      </c>
      <c r="G7" s="27" t="inlineStr">
        <is>
          <t>Smoothie</t>
        </is>
      </c>
      <c r="H7" s="27" t="inlineStr">
        <is>
          <t>Pancakes</t>
        </is>
      </c>
      <c r="I7" s="27" t="inlineStr">
        <is>
          <t>Eggs &amp; avocado</t>
        </is>
      </c>
    </row>
    <row r="8" ht="34" customHeight="1">
      <c r="B8" s="55" t="inlineStr">
        <is>
          <t>Lunch</t>
        </is>
      </c>
      <c r="C8" s="27" t="inlineStr">
        <is>
          <t>Chicken wrap</t>
        </is>
      </c>
      <c r="D8" s="27" t="inlineStr">
        <is>
          <t>Pasta leftovers</t>
        </is>
      </c>
      <c r="E8" s="27" t="inlineStr">
        <is>
          <t>Tuna salad</t>
        </is>
      </c>
      <c r="F8" s="27" t="inlineStr">
        <is>
          <t>Soup &amp; bread</t>
        </is>
      </c>
      <c r="G8" s="27" t="inlineStr">
        <is>
          <t>Grain bowl</t>
        </is>
      </c>
      <c r="H8" s="27" t="inlineStr">
        <is>
          <t>Picnic</t>
        </is>
      </c>
      <c r="I8" s="27" t="inlineStr">
        <is>
          <t>Roast leftovers</t>
        </is>
      </c>
    </row>
    <row r="9" ht="34" customHeight="1">
      <c r="B9" s="55" t="inlineStr">
        <is>
          <t>Dinner</t>
        </is>
      </c>
      <c r="C9" s="27" t="inlineStr">
        <is>
          <t>Veggie stir-fry</t>
        </is>
      </c>
      <c r="D9" s="27" t="inlineStr">
        <is>
          <t>Spaghetti bolognese</t>
        </is>
      </c>
      <c r="E9" s="27" t="inlineStr">
        <is>
          <t>Fish tacos</t>
        </is>
      </c>
      <c r="F9" s="27" t="inlineStr">
        <is>
          <t>Chicken curry</t>
        </is>
      </c>
      <c r="G9" s="27" t="inlineStr">
        <is>
          <t>Homemade pizza</t>
        </is>
      </c>
      <c r="H9" s="27" t="inlineStr">
        <is>
          <t>Burgers</t>
        </is>
      </c>
      <c r="I9" s="27" t="inlineStr">
        <is>
          <t>Sunday roast</t>
        </is>
      </c>
    </row>
    <row r="10" ht="34" customHeight="1">
      <c r="B10" s="55" t="inlineStr">
        <is>
          <t>Snacks</t>
        </is>
      </c>
      <c r="C10" s="27" t="inlineStr">
        <is>
          <t>Apple &amp; nuts</t>
        </is>
      </c>
      <c r="D10" s="27" t="inlineStr">
        <is>
          <t>Hummus &amp; carrots</t>
        </is>
      </c>
      <c r="E10" s="27" t="inlineStr">
        <is>
          <t>Banana</t>
        </is>
      </c>
      <c r="F10" s="27" t="inlineStr">
        <is>
          <t>Cheese &amp; crackers</t>
        </is>
      </c>
      <c r="G10" s="27" t="inlineStr">
        <is>
          <t>Popcorn</t>
        </is>
      </c>
      <c r="H10" s="27" t="inlineStr">
        <is>
          <t>Fruit salad</t>
        </is>
      </c>
      <c r="I10" s="27" t="inlineStr">
        <is>
          <t>Dark chocolate</t>
        </is>
      </c>
    </row>
    <row r="13">
      <c r="B13" s="56" t="inlineStr">
        <is>
          <t>Grocery list</t>
        </is>
      </c>
      <c r="C13" s="54" t="n"/>
      <c r="D13" s="54" t="n"/>
      <c r="E13" s="54" t="n"/>
      <c r="F13" s="54" t="n"/>
      <c r="G13" s="54" t="n"/>
      <c r="H13" s="54" t="n"/>
      <c r="I13" s="10" t="n"/>
    </row>
    <row r="14">
      <c r="B14" s="45" t="inlineStr">
        <is>
          <t>Aisle</t>
        </is>
      </c>
      <c r="C14" s="57" t="inlineStr">
        <is>
          <t>Produce</t>
        </is>
      </c>
      <c r="D14" s="57" t="inlineStr">
        <is>
          <t>Meat &amp; Fish</t>
        </is>
      </c>
      <c r="E14" s="57" t="inlineStr">
        <is>
          <t>Dairy &amp; Eggs</t>
        </is>
      </c>
      <c r="F14" s="57" t="inlineStr">
        <is>
          <t>Bakery</t>
        </is>
      </c>
      <c r="G14" s="57" t="inlineStr">
        <is>
          <t>Pantry</t>
        </is>
      </c>
      <c r="H14" s="57" t="inlineStr">
        <is>
          <t>Frozen</t>
        </is>
      </c>
      <c r="I14" s="57" t="inlineStr">
        <is>
          <t>Household</t>
        </is>
      </c>
    </row>
    <row r="15">
      <c r="B15" s="20" t="inlineStr"/>
      <c r="C15" s="58" t="inlineStr">
        <is>
          <t>Berries</t>
        </is>
      </c>
      <c r="D15" s="58" t="inlineStr">
        <is>
          <t>Chicken thighs</t>
        </is>
      </c>
      <c r="E15" s="58" t="inlineStr">
        <is>
          <t>Eggs (12)</t>
        </is>
      </c>
      <c r="F15" s="58" t="inlineStr">
        <is>
          <t>Whole wheat bread</t>
        </is>
      </c>
      <c r="G15" s="58" t="inlineStr">
        <is>
          <t>Oats</t>
        </is>
      </c>
      <c r="H15" s="58" t="inlineStr">
        <is>
          <t>Peas</t>
        </is>
      </c>
      <c r="I15" s="58" t="inlineStr">
        <is>
          <t>Dish soap</t>
        </is>
      </c>
    </row>
    <row r="16">
      <c r="B16" s="20" t="inlineStr"/>
      <c r="C16" s="58" t="inlineStr">
        <is>
          <t>Carrots</t>
        </is>
      </c>
      <c r="D16" s="58" t="inlineStr">
        <is>
          <t>Ground beef</t>
        </is>
      </c>
      <c r="E16" s="58" t="inlineStr">
        <is>
          <t>Greek yogurt</t>
        </is>
      </c>
      <c r="F16" s="58" t="inlineStr">
        <is>
          <t>Tortilla wraps</t>
        </is>
      </c>
      <c r="G16" s="58" t="inlineStr">
        <is>
          <t>Spaghetti</t>
        </is>
      </c>
      <c r="H16" s="58" t="inlineStr">
        <is>
          <t>Pizza bases</t>
        </is>
      </c>
      <c r="I16" s="58" t="inlineStr">
        <is>
          <t>Trash bags</t>
        </is>
      </c>
    </row>
    <row r="17">
      <c r="B17" s="20" t="inlineStr"/>
      <c r="C17" s="58" t="inlineStr">
        <is>
          <t>Avocados</t>
        </is>
      </c>
      <c r="D17" s="58" t="inlineStr">
        <is>
          <t>White fish</t>
        </is>
      </c>
      <c r="E17" s="58" t="inlineStr">
        <is>
          <t>Cheddar</t>
        </is>
      </c>
      <c r="F17" s="58" t="n"/>
      <c r="G17" s="58" t="inlineStr">
        <is>
          <t>Curry paste</t>
        </is>
      </c>
      <c r="H17" s="58" t="n"/>
      <c r="I17" s="58" t="n"/>
    </row>
    <row r="18">
      <c r="B18" s="20" t="inlineStr"/>
      <c r="C18" s="58" t="inlineStr">
        <is>
          <t>Onions</t>
        </is>
      </c>
      <c r="D18" s="58" t="n"/>
      <c r="E18" s="58" t="n"/>
      <c r="F18" s="58" t="n"/>
      <c r="G18" s="58" t="inlineStr">
        <is>
          <t>Canned tomatoes</t>
        </is>
      </c>
      <c r="H18" s="58" t="n"/>
      <c r="I18" s="58" t="n"/>
    </row>
    <row r="19">
      <c r="B19" s="20" t="inlineStr"/>
      <c r="C19" s="58" t="inlineStr">
        <is>
          <t>Spinach</t>
        </is>
      </c>
      <c r="D19" s="58" t="n"/>
      <c r="E19" s="58" t="n"/>
      <c r="F19" s="58" t="n"/>
      <c r="G19" s="58" t="n"/>
      <c r="H19" s="58" t="n"/>
      <c r="I19" s="58" t="n"/>
    </row>
    <row r="20">
      <c r="B20" s="20" t="inlineStr"/>
      <c r="C20" s="58" t="n"/>
      <c r="D20" s="58" t="n"/>
      <c r="E20" s="58" t="n"/>
      <c r="F20" s="58" t="n"/>
      <c r="G20" s="58" t="n"/>
      <c r="H20" s="58" t="n"/>
      <c r="I20" s="58" t="n"/>
    </row>
    <row r="21">
      <c r="B21" s="20" t="inlineStr"/>
      <c r="C21" s="58" t="n"/>
      <c r="D21" s="58" t="n"/>
      <c r="E21" s="58" t="n"/>
      <c r="F21" s="58" t="n"/>
      <c r="G21" s="58" t="n"/>
      <c r="H21" s="58" t="n"/>
      <c r="I21" s="58" t="n"/>
    </row>
    <row r="22">
      <c r="B22" s="20" t="inlineStr"/>
      <c r="C22" s="58" t="n"/>
      <c r="D22" s="58" t="n"/>
      <c r="E22" s="58" t="n"/>
      <c r="F22" s="58" t="n"/>
      <c r="G22" s="58" t="n"/>
      <c r="H22" s="58" t="n"/>
      <c r="I22" s="58" t="n"/>
    </row>
    <row r="23">
      <c r="B23" s="20" t="inlineStr"/>
      <c r="C23" s="58" t="n"/>
      <c r="D23" s="58" t="n"/>
      <c r="E23" s="58" t="n"/>
      <c r="F23" s="58" t="n"/>
      <c r="G23" s="58" t="n"/>
      <c r="H23" s="58" t="n"/>
      <c r="I23" s="58" t="n"/>
    </row>
    <row r="24">
      <c r="B24" s="20" t="inlineStr"/>
      <c r="C24" s="58" t="n"/>
      <c r="D24" s="58" t="n"/>
      <c r="E24" s="58" t="n"/>
      <c r="F24" s="58" t="n"/>
      <c r="G24" s="58" t="n"/>
      <c r="H24" s="58" t="n"/>
      <c r="I24" s="58" t="n"/>
    </row>
    <row r="25">
      <c r="B25" s="20" t="inlineStr"/>
      <c r="C25" s="58" t="n"/>
      <c r="D25" s="58" t="n"/>
      <c r="E25" s="58" t="n"/>
      <c r="F25" s="58" t="n"/>
      <c r="G25" s="58" t="n"/>
      <c r="H25" s="58" t="n"/>
      <c r="I25" s="58" t="n"/>
    </row>
    <row r="26">
      <c r="B26" s="20" t="inlineStr"/>
      <c r="C26" s="58" t="n"/>
      <c r="D26" s="58" t="n"/>
      <c r="E26" s="58" t="n"/>
      <c r="F26" s="58" t="n"/>
      <c r="G26" s="58" t="n"/>
      <c r="H26" s="58" t="n"/>
      <c r="I26" s="58" t="n"/>
    </row>
    <row r="27">
      <c r="B27" s="20" t="inlineStr"/>
      <c r="C27" s="58" t="n"/>
      <c r="D27" s="58" t="n"/>
      <c r="E27" s="58" t="n"/>
      <c r="F27" s="58" t="n"/>
      <c r="G27" s="58" t="n"/>
      <c r="H27" s="58" t="n"/>
      <c r="I27" s="58" t="n"/>
    </row>
    <row r="28">
      <c r="B28" s="20" t="inlineStr"/>
      <c r="C28" s="58" t="n"/>
      <c r="D28" s="58" t="n"/>
      <c r="E28" s="58" t="n"/>
      <c r="F28" s="58" t="n"/>
      <c r="G28" s="58" t="n"/>
      <c r="H28" s="58" t="n"/>
      <c r="I28" s="58" t="n"/>
    </row>
    <row r="29">
      <c r="B29" s="20" t="inlineStr"/>
      <c r="C29" s="58" t="n"/>
      <c r="D29" s="58" t="n"/>
      <c r="E29" s="58" t="n"/>
      <c r="F29" s="58" t="n"/>
      <c r="G29" s="58" t="n"/>
      <c r="H29" s="58" t="n"/>
      <c r="I29" s="58" t="n"/>
    </row>
  </sheetData>
  <mergeCells count="1">
    <mergeCell ref="B13:I13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I1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1" t="n"/>
      <c r="B2" s="2" t="inlineStr">
        <is>
          <t>Monthly Calendar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Month = Planning month in Setup. Each day counts tasks due (Tasks tab).</t>
        </is>
      </c>
      <c r="C3" s="1" t="n"/>
      <c r="D3" s="1" t="n"/>
      <c r="E3" s="1" t="n"/>
      <c r="F3" s="1" t="n"/>
      <c r="G3" s="1" t="n"/>
      <c r="H3" s="1" t="n"/>
      <c r="I3" s="1" t="n"/>
    </row>
    <row r="4" ht="8" customHeight="1"/>
    <row r="5">
      <c r="B5" s="59">
        <f>PlanMonth</f>
        <v/>
      </c>
    </row>
    <row r="6" ht="28" customHeight="1">
      <c r="B6" s="19" t="inlineStr">
        <is>
          <t>Mon</t>
        </is>
      </c>
      <c r="C6" s="19" t="inlineStr">
        <is>
          <t>Tue</t>
        </is>
      </c>
      <c r="D6" s="19" t="inlineStr">
        <is>
          <t>Wed</t>
        </is>
      </c>
      <c r="E6" s="19" t="inlineStr">
        <is>
          <t>Thu</t>
        </is>
      </c>
      <c r="F6" s="19" t="inlineStr">
        <is>
          <t>Fri</t>
        </is>
      </c>
      <c r="G6" s="19" t="inlineStr">
        <is>
          <t>Sat</t>
        </is>
      </c>
      <c r="H6" s="19" t="inlineStr">
        <is>
          <t>Sun</t>
        </is>
      </c>
    </row>
    <row r="7">
      <c r="B7" s="60">
        <f>IF(MONTH(PlanMonth-WEEKDAY(PlanMonth,3)+0)&lt;&gt;MONTH(PlanMonth),"",PlanMonth-WEEKDAY(PlanMonth,3)+0)</f>
        <v/>
      </c>
      <c r="C7" s="60">
        <f>IF(MONTH(PlanMonth-WEEKDAY(PlanMonth,3)+1)&lt;&gt;MONTH(PlanMonth),"",PlanMonth-WEEKDAY(PlanMonth,3)+1)</f>
        <v/>
      </c>
      <c r="D7" s="60">
        <f>IF(MONTH(PlanMonth-WEEKDAY(PlanMonth,3)+2)&lt;&gt;MONTH(PlanMonth),"",PlanMonth-WEEKDAY(PlanMonth,3)+2)</f>
        <v/>
      </c>
      <c r="E7" s="60">
        <f>IF(MONTH(PlanMonth-WEEKDAY(PlanMonth,3)+3)&lt;&gt;MONTH(PlanMonth),"",PlanMonth-WEEKDAY(PlanMonth,3)+3)</f>
        <v/>
      </c>
      <c r="F7" s="60">
        <f>IF(MONTH(PlanMonth-WEEKDAY(PlanMonth,3)+4)&lt;&gt;MONTH(PlanMonth),"",PlanMonth-WEEKDAY(PlanMonth,3)+4)</f>
        <v/>
      </c>
      <c r="G7" s="60">
        <f>IF(MONTH(PlanMonth-WEEKDAY(PlanMonth,3)+5)&lt;&gt;MONTH(PlanMonth),"",PlanMonth-WEEKDAY(PlanMonth,3)+5)</f>
        <v/>
      </c>
      <c r="H7" s="60">
        <f>IF(MONTH(PlanMonth-WEEKDAY(PlanMonth,3)+6)&lt;&gt;MONTH(PlanMonth),"",PlanMonth-WEEKDAY(PlanMonth,3)+6)</f>
        <v/>
      </c>
    </row>
    <row r="8" ht="38" customHeight="1">
      <c r="B8" s="61">
        <f>IF(B7="","",IF(COUNTIFS('Tasks'!$D$7:$D$106,B7,'Tasks'!$F$7:$F$106,"&lt;&gt;Done")=0,"",COUNTIFS('Tasks'!$D$7:$D$106,B7,'Tasks'!$F$7:$F$106,"&lt;&gt;Done")&amp;" due"))</f>
        <v/>
      </c>
      <c r="C8" s="61">
        <f>IF(C7="","",IF(COUNTIFS('Tasks'!$D$7:$D$106,C7,'Tasks'!$F$7:$F$106,"&lt;&gt;Done")=0,"",COUNTIFS('Tasks'!$D$7:$D$106,C7,'Tasks'!$F$7:$F$106,"&lt;&gt;Done")&amp;" due"))</f>
        <v/>
      </c>
      <c r="D8" s="61">
        <f>IF(D7="","",IF(COUNTIFS('Tasks'!$D$7:$D$106,D7,'Tasks'!$F$7:$F$106,"&lt;&gt;Done")=0,"",COUNTIFS('Tasks'!$D$7:$D$106,D7,'Tasks'!$F$7:$F$106,"&lt;&gt;Done")&amp;" due"))</f>
        <v/>
      </c>
      <c r="E8" s="61">
        <f>IF(E7="","",IF(COUNTIFS('Tasks'!$D$7:$D$106,E7,'Tasks'!$F$7:$F$106,"&lt;&gt;Done")=0,"",COUNTIFS('Tasks'!$D$7:$D$106,E7,'Tasks'!$F$7:$F$106,"&lt;&gt;Done")&amp;" due"))</f>
        <v/>
      </c>
      <c r="F8" s="61">
        <f>IF(F7="","",IF(COUNTIFS('Tasks'!$D$7:$D$106,F7,'Tasks'!$F$7:$F$106,"&lt;&gt;Done")=0,"",COUNTIFS('Tasks'!$D$7:$D$106,F7,'Tasks'!$F$7:$F$106,"&lt;&gt;Done")&amp;" due"))</f>
        <v/>
      </c>
      <c r="G8" s="61">
        <f>IF(G7="","",IF(COUNTIFS('Tasks'!$D$7:$D$106,G7,'Tasks'!$F$7:$F$106,"&lt;&gt;Done")=0,"",COUNTIFS('Tasks'!$D$7:$D$106,G7,'Tasks'!$F$7:$F$106,"&lt;&gt;Done")&amp;" due"))</f>
        <v/>
      </c>
      <c r="H8" s="61">
        <f>IF(H7="","",IF(COUNTIFS('Tasks'!$D$7:$D$106,H7,'Tasks'!$F$7:$F$106,"&lt;&gt;Done")=0,"",COUNTIFS('Tasks'!$D$7:$D$106,H7,'Tasks'!$F$7:$F$106,"&lt;&gt;Done")&amp;" due"))</f>
        <v/>
      </c>
    </row>
    <row r="9">
      <c r="B9" s="60">
        <f>IF(MONTH(PlanMonth-WEEKDAY(PlanMonth,3)+7)&lt;&gt;MONTH(PlanMonth),"",PlanMonth-WEEKDAY(PlanMonth,3)+7)</f>
        <v/>
      </c>
      <c r="C9" s="60">
        <f>IF(MONTH(PlanMonth-WEEKDAY(PlanMonth,3)+8)&lt;&gt;MONTH(PlanMonth),"",PlanMonth-WEEKDAY(PlanMonth,3)+8)</f>
        <v/>
      </c>
      <c r="D9" s="60">
        <f>IF(MONTH(PlanMonth-WEEKDAY(PlanMonth,3)+9)&lt;&gt;MONTH(PlanMonth),"",PlanMonth-WEEKDAY(PlanMonth,3)+9)</f>
        <v/>
      </c>
      <c r="E9" s="60">
        <f>IF(MONTH(PlanMonth-WEEKDAY(PlanMonth,3)+10)&lt;&gt;MONTH(PlanMonth),"",PlanMonth-WEEKDAY(PlanMonth,3)+10)</f>
        <v/>
      </c>
      <c r="F9" s="60">
        <f>IF(MONTH(PlanMonth-WEEKDAY(PlanMonth,3)+11)&lt;&gt;MONTH(PlanMonth),"",PlanMonth-WEEKDAY(PlanMonth,3)+11)</f>
        <v/>
      </c>
      <c r="G9" s="60">
        <f>IF(MONTH(PlanMonth-WEEKDAY(PlanMonth,3)+12)&lt;&gt;MONTH(PlanMonth),"",PlanMonth-WEEKDAY(PlanMonth,3)+12)</f>
        <v/>
      </c>
      <c r="H9" s="60">
        <f>IF(MONTH(PlanMonth-WEEKDAY(PlanMonth,3)+13)&lt;&gt;MONTH(PlanMonth),"",PlanMonth-WEEKDAY(PlanMonth,3)+13)</f>
        <v/>
      </c>
    </row>
    <row r="10" ht="38" customHeight="1">
      <c r="B10" s="61">
        <f>IF(B9="","",IF(COUNTIFS('Tasks'!$D$7:$D$106,B9,'Tasks'!$F$7:$F$106,"&lt;&gt;Done")=0,"",COUNTIFS('Tasks'!$D$7:$D$106,B9,'Tasks'!$F$7:$F$106,"&lt;&gt;Done")&amp;" due"))</f>
        <v/>
      </c>
      <c r="C10" s="61">
        <f>IF(C9="","",IF(COUNTIFS('Tasks'!$D$7:$D$106,C9,'Tasks'!$F$7:$F$106,"&lt;&gt;Done")=0,"",COUNTIFS('Tasks'!$D$7:$D$106,C9,'Tasks'!$F$7:$F$106,"&lt;&gt;Done")&amp;" due"))</f>
        <v/>
      </c>
      <c r="D10" s="61">
        <f>IF(D9="","",IF(COUNTIFS('Tasks'!$D$7:$D$106,D9,'Tasks'!$F$7:$F$106,"&lt;&gt;Done")=0,"",COUNTIFS('Tasks'!$D$7:$D$106,D9,'Tasks'!$F$7:$F$106,"&lt;&gt;Done")&amp;" due"))</f>
        <v/>
      </c>
      <c r="E10" s="61">
        <f>IF(E9="","",IF(COUNTIFS('Tasks'!$D$7:$D$106,E9,'Tasks'!$F$7:$F$106,"&lt;&gt;Done")=0,"",COUNTIFS('Tasks'!$D$7:$D$106,E9,'Tasks'!$F$7:$F$106,"&lt;&gt;Done")&amp;" due"))</f>
        <v/>
      </c>
      <c r="F10" s="61">
        <f>IF(F9="","",IF(COUNTIFS('Tasks'!$D$7:$D$106,F9,'Tasks'!$F$7:$F$106,"&lt;&gt;Done")=0,"",COUNTIFS('Tasks'!$D$7:$D$106,F9,'Tasks'!$F$7:$F$106,"&lt;&gt;Done")&amp;" due"))</f>
        <v/>
      </c>
      <c r="G10" s="61">
        <f>IF(G9="","",IF(COUNTIFS('Tasks'!$D$7:$D$106,G9,'Tasks'!$F$7:$F$106,"&lt;&gt;Done")=0,"",COUNTIFS('Tasks'!$D$7:$D$106,G9,'Tasks'!$F$7:$F$106,"&lt;&gt;Done")&amp;" due"))</f>
        <v/>
      </c>
      <c r="H10" s="61">
        <f>IF(H9="","",IF(COUNTIFS('Tasks'!$D$7:$D$106,H9,'Tasks'!$F$7:$F$106,"&lt;&gt;Done")=0,"",COUNTIFS('Tasks'!$D$7:$D$106,H9,'Tasks'!$F$7:$F$106,"&lt;&gt;Done")&amp;" due"))</f>
        <v/>
      </c>
    </row>
    <row r="11">
      <c r="B11" s="60">
        <f>IF(MONTH(PlanMonth-WEEKDAY(PlanMonth,3)+14)&lt;&gt;MONTH(PlanMonth),"",PlanMonth-WEEKDAY(PlanMonth,3)+14)</f>
        <v/>
      </c>
      <c r="C11" s="60">
        <f>IF(MONTH(PlanMonth-WEEKDAY(PlanMonth,3)+15)&lt;&gt;MONTH(PlanMonth),"",PlanMonth-WEEKDAY(PlanMonth,3)+15)</f>
        <v/>
      </c>
      <c r="D11" s="60">
        <f>IF(MONTH(PlanMonth-WEEKDAY(PlanMonth,3)+16)&lt;&gt;MONTH(PlanMonth),"",PlanMonth-WEEKDAY(PlanMonth,3)+16)</f>
        <v/>
      </c>
      <c r="E11" s="60">
        <f>IF(MONTH(PlanMonth-WEEKDAY(PlanMonth,3)+17)&lt;&gt;MONTH(PlanMonth),"",PlanMonth-WEEKDAY(PlanMonth,3)+17)</f>
        <v/>
      </c>
      <c r="F11" s="60">
        <f>IF(MONTH(PlanMonth-WEEKDAY(PlanMonth,3)+18)&lt;&gt;MONTH(PlanMonth),"",PlanMonth-WEEKDAY(PlanMonth,3)+18)</f>
        <v/>
      </c>
      <c r="G11" s="60">
        <f>IF(MONTH(PlanMonth-WEEKDAY(PlanMonth,3)+19)&lt;&gt;MONTH(PlanMonth),"",PlanMonth-WEEKDAY(PlanMonth,3)+19)</f>
        <v/>
      </c>
      <c r="H11" s="60">
        <f>IF(MONTH(PlanMonth-WEEKDAY(PlanMonth,3)+20)&lt;&gt;MONTH(PlanMonth),"",PlanMonth-WEEKDAY(PlanMonth,3)+20)</f>
        <v/>
      </c>
    </row>
    <row r="12" ht="38" customHeight="1">
      <c r="B12" s="61">
        <f>IF(B11="","",IF(COUNTIFS('Tasks'!$D$7:$D$106,B11,'Tasks'!$F$7:$F$106,"&lt;&gt;Done")=0,"",COUNTIFS('Tasks'!$D$7:$D$106,B11,'Tasks'!$F$7:$F$106,"&lt;&gt;Done")&amp;" due"))</f>
        <v/>
      </c>
      <c r="C12" s="61">
        <f>IF(C11="","",IF(COUNTIFS('Tasks'!$D$7:$D$106,C11,'Tasks'!$F$7:$F$106,"&lt;&gt;Done")=0,"",COUNTIFS('Tasks'!$D$7:$D$106,C11,'Tasks'!$F$7:$F$106,"&lt;&gt;Done")&amp;" due"))</f>
        <v/>
      </c>
      <c r="D12" s="61">
        <f>IF(D11="","",IF(COUNTIFS('Tasks'!$D$7:$D$106,D11,'Tasks'!$F$7:$F$106,"&lt;&gt;Done")=0,"",COUNTIFS('Tasks'!$D$7:$D$106,D11,'Tasks'!$F$7:$F$106,"&lt;&gt;Done")&amp;" due"))</f>
        <v/>
      </c>
      <c r="E12" s="61">
        <f>IF(E11="","",IF(COUNTIFS('Tasks'!$D$7:$D$106,E11,'Tasks'!$F$7:$F$106,"&lt;&gt;Done")=0,"",COUNTIFS('Tasks'!$D$7:$D$106,E11,'Tasks'!$F$7:$F$106,"&lt;&gt;Done")&amp;" due"))</f>
        <v/>
      </c>
      <c r="F12" s="61">
        <f>IF(F11="","",IF(COUNTIFS('Tasks'!$D$7:$D$106,F11,'Tasks'!$F$7:$F$106,"&lt;&gt;Done")=0,"",COUNTIFS('Tasks'!$D$7:$D$106,F11,'Tasks'!$F$7:$F$106,"&lt;&gt;Done")&amp;" due"))</f>
        <v/>
      </c>
      <c r="G12" s="61">
        <f>IF(G11="","",IF(COUNTIFS('Tasks'!$D$7:$D$106,G11,'Tasks'!$F$7:$F$106,"&lt;&gt;Done")=0,"",COUNTIFS('Tasks'!$D$7:$D$106,G11,'Tasks'!$F$7:$F$106,"&lt;&gt;Done")&amp;" due"))</f>
        <v/>
      </c>
      <c r="H12" s="61">
        <f>IF(H11="","",IF(COUNTIFS('Tasks'!$D$7:$D$106,H11,'Tasks'!$F$7:$F$106,"&lt;&gt;Done")=0,"",COUNTIFS('Tasks'!$D$7:$D$106,H11,'Tasks'!$F$7:$F$106,"&lt;&gt;Done")&amp;" due"))</f>
        <v/>
      </c>
    </row>
    <row r="13">
      <c r="B13" s="60">
        <f>IF(MONTH(PlanMonth-WEEKDAY(PlanMonth,3)+21)&lt;&gt;MONTH(PlanMonth),"",PlanMonth-WEEKDAY(PlanMonth,3)+21)</f>
        <v/>
      </c>
      <c r="C13" s="60">
        <f>IF(MONTH(PlanMonth-WEEKDAY(PlanMonth,3)+22)&lt;&gt;MONTH(PlanMonth),"",PlanMonth-WEEKDAY(PlanMonth,3)+22)</f>
        <v/>
      </c>
      <c r="D13" s="60">
        <f>IF(MONTH(PlanMonth-WEEKDAY(PlanMonth,3)+23)&lt;&gt;MONTH(PlanMonth),"",PlanMonth-WEEKDAY(PlanMonth,3)+23)</f>
        <v/>
      </c>
      <c r="E13" s="60">
        <f>IF(MONTH(PlanMonth-WEEKDAY(PlanMonth,3)+24)&lt;&gt;MONTH(PlanMonth),"",PlanMonth-WEEKDAY(PlanMonth,3)+24)</f>
        <v/>
      </c>
      <c r="F13" s="60">
        <f>IF(MONTH(PlanMonth-WEEKDAY(PlanMonth,3)+25)&lt;&gt;MONTH(PlanMonth),"",PlanMonth-WEEKDAY(PlanMonth,3)+25)</f>
        <v/>
      </c>
      <c r="G13" s="60">
        <f>IF(MONTH(PlanMonth-WEEKDAY(PlanMonth,3)+26)&lt;&gt;MONTH(PlanMonth),"",PlanMonth-WEEKDAY(PlanMonth,3)+26)</f>
        <v/>
      </c>
      <c r="H13" s="60">
        <f>IF(MONTH(PlanMonth-WEEKDAY(PlanMonth,3)+27)&lt;&gt;MONTH(PlanMonth),"",PlanMonth-WEEKDAY(PlanMonth,3)+27)</f>
        <v/>
      </c>
    </row>
    <row r="14" ht="38" customHeight="1">
      <c r="B14" s="61">
        <f>IF(B13="","",IF(COUNTIFS('Tasks'!$D$7:$D$106,B13,'Tasks'!$F$7:$F$106,"&lt;&gt;Done")=0,"",COUNTIFS('Tasks'!$D$7:$D$106,B13,'Tasks'!$F$7:$F$106,"&lt;&gt;Done")&amp;" due"))</f>
        <v/>
      </c>
      <c r="C14" s="61">
        <f>IF(C13="","",IF(COUNTIFS('Tasks'!$D$7:$D$106,C13,'Tasks'!$F$7:$F$106,"&lt;&gt;Done")=0,"",COUNTIFS('Tasks'!$D$7:$D$106,C13,'Tasks'!$F$7:$F$106,"&lt;&gt;Done")&amp;" due"))</f>
        <v/>
      </c>
      <c r="D14" s="61">
        <f>IF(D13="","",IF(COUNTIFS('Tasks'!$D$7:$D$106,D13,'Tasks'!$F$7:$F$106,"&lt;&gt;Done")=0,"",COUNTIFS('Tasks'!$D$7:$D$106,D13,'Tasks'!$F$7:$F$106,"&lt;&gt;Done")&amp;" due"))</f>
        <v/>
      </c>
      <c r="E14" s="61">
        <f>IF(E13="","",IF(COUNTIFS('Tasks'!$D$7:$D$106,E13,'Tasks'!$F$7:$F$106,"&lt;&gt;Done")=0,"",COUNTIFS('Tasks'!$D$7:$D$106,E13,'Tasks'!$F$7:$F$106,"&lt;&gt;Done")&amp;" due"))</f>
        <v/>
      </c>
      <c r="F14" s="61">
        <f>IF(F13="","",IF(COUNTIFS('Tasks'!$D$7:$D$106,F13,'Tasks'!$F$7:$F$106,"&lt;&gt;Done")=0,"",COUNTIFS('Tasks'!$D$7:$D$106,F13,'Tasks'!$F$7:$F$106,"&lt;&gt;Done")&amp;" due"))</f>
        <v/>
      </c>
      <c r="G14" s="61">
        <f>IF(G13="","",IF(COUNTIFS('Tasks'!$D$7:$D$106,G13,'Tasks'!$F$7:$F$106,"&lt;&gt;Done")=0,"",COUNTIFS('Tasks'!$D$7:$D$106,G13,'Tasks'!$F$7:$F$106,"&lt;&gt;Done")&amp;" due"))</f>
        <v/>
      </c>
      <c r="H14" s="61">
        <f>IF(H13="","",IF(COUNTIFS('Tasks'!$D$7:$D$106,H13,'Tasks'!$F$7:$F$106,"&lt;&gt;Done")=0,"",COUNTIFS('Tasks'!$D$7:$D$106,H13,'Tasks'!$F$7:$F$106,"&lt;&gt;Done")&amp;" due"))</f>
        <v/>
      </c>
    </row>
    <row r="15">
      <c r="B15" s="60">
        <f>IF(MONTH(PlanMonth-WEEKDAY(PlanMonth,3)+28)&lt;&gt;MONTH(PlanMonth),"",PlanMonth-WEEKDAY(PlanMonth,3)+28)</f>
        <v/>
      </c>
      <c r="C15" s="60">
        <f>IF(MONTH(PlanMonth-WEEKDAY(PlanMonth,3)+29)&lt;&gt;MONTH(PlanMonth),"",PlanMonth-WEEKDAY(PlanMonth,3)+29)</f>
        <v/>
      </c>
      <c r="D15" s="60">
        <f>IF(MONTH(PlanMonth-WEEKDAY(PlanMonth,3)+30)&lt;&gt;MONTH(PlanMonth),"",PlanMonth-WEEKDAY(PlanMonth,3)+30)</f>
        <v/>
      </c>
      <c r="E15" s="60">
        <f>IF(MONTH(PlanMonth-WEEKDAY(PlanMonth,3)+31)&lt;&gt;MONTH(PlanMonth),"",PlanMonth-WEEKDAY(PlanMonth,3)+31)</f>
        <v/>
      </c>
      <c r="F15" s="60">
        <f>IF(MONTH(PlanMonth-WEEKDAY(PlanMonth,3)+32)&lt;&gt;MONTH(PlanMonth),"",PlanMonth-WEEKDAY(PlanMonth,3)+32)</f>
        <v/>
      </c>
      <c r="G15" s="60">
        <f>IF(MONTH(PlanMonth-WEEKDAY(PlanMonth,3)+33)&lt;&gt;MONTH(PlanMonth),"",PlanMonth-WEEKDAY(PlanMonth,3)+33)</f>
        <v/>
      </c>
      <c r="H15" s="60">
        <f>IF(MONTH(PlanMonth-WEEKDAY(PlanMonth,3)+34)&lt;&gt;MONTH(PlanMonth),"",PlanMonth-WEEKDAY(PlanMonth,3)+34)</f>
        <v/>
      </c>
    </row>
    <row r="16" ht="38" customHeight="1">
      <c r="B16" s="61">
        <f>IF(B15="","",IF(COUNTIFS('Tasks'!$D$7:$D$106,B15,'Tasks'!$F$7:$F$106,"&lt;&gt;Done")=0,"",COUNTIFS('Tasks'!$D$7:$D$106,B15,'Tasks'!$F$7:$F$106,"&lt;&gt;Done")&amp;" due"))</f>
        <v/>
      </c>
      <c r="C16" s="61">
        <f>IF(C15="","",IF(COUNTIFS('Tasks'!$D$7:$D$106,C15,'Tasks'!$F$7:$F$106,"&lt;&gt;Done")=0,"",COUNTIFS('Tasks'!$D$7:$D$106,C15,'Tasks'!$F$7:$F$106,"&lt;&gt;Done")&amp;" due"))</f>
        <v/>
      </c>
      <c r="D16" s="61">
        <f>IF(D15="","",IF(COUNTIFS('Tasks'!$D$7:$D$106,D15,'Tasks'!$F$7:$F$106,"&lt;&gt;Done")=0,"",COUNTIFS('Tasks'!$D$7:$D$106,D15,'Tasks'!$F$7:$F$106,"&lt;&gt;Done")&amp;" due"))</f>
        <v/>
      </c>
      <c r="E16" s="61">
        <f>IF(E15="","",IF(COUNTIFS('Tasks'!$D$7:$D$106,E15,'Tasks'!$F$7:$F$106,"&lt;&gt;Done")=0,"",COUNTIFS('Tasks'!$D$7:$D$106,E15,'Tasks'!$F$7:$F$106,"&lt;&gt;Done")&amp;" due"))</f>
        <v/>
      </c>
      <c r="F16" s="61">
        <f>IF(F15="","",IF(COUNTIFS('Tasks'!$D$7:$D$106,F15,'Tasks'!$F$7:$F$106,"&lt;&gt;Done")=0,"",COUNTIFS('Tasks'!$D$7:$D$106,F15,'Tasks'!$F$7:$F$106,"&lt;&gt;Done")&amp;" due"))</f>
        <v/>
      </c>
      <c r="G16" s="61">
        <f>IF(G15="","",IF(COUNTIFS('Tasks'!$D$7:$D$106,G15,'Tasks'!$F$7:$F$106,"&lt;&gt;Done")=0,"",COUNTIFS('Tasks'!$D$7:$D$106,G15,'Tasks'!$F$7:$F$106,"&lt;&gt;Done")&amp;" due"))</f>
        <v/>
      </c>
      <c r="H16" s="61">
        <f>IF(H15="","",IF(COUNTIFS('Tasks'!$D$7:$D$106,H15,'Tasks'!$F$7:$F$106,"&lt;&gt;Done")=0,"",COUNTIFS('Tasks'!$D$7:$D$106,H15,'Tasks'!$F$7:$F$106,"&lt;&gt;Done")&amp;" due"))</f>
        <v/>
      </c>
    </row>
    <row r="17">
      <c r="B17" s="60">
        <f>IF(MONTH(PlanMonth-WEEKDAY(PlanMonth,3)+35)&lt;&gt;MONTH(PlanMonth),"",PlanMonth-WEEKDAY(PlanMonth,3)+35)</f>
        <v/>
      </c>
      <c r="C17" s="60">
        <f>IF(MONTH(PlanMonth-WEEKDAY(PlanMonth,3)+36)&lt;&gt;MONTH(PlanMonth),"",PlanMonth-WEEKDAY(PlanMonth,3)+36)</f>
        <v/>
      </c>
      <c r="D17" s="60">
        <f>IF(MONTH(PlanMonth-WEEKDAY(PlanMonth,3)+37)&lt;&gt;MONTH(PlanMonth),"",PlanMonth-WEEKDAY(PlanMonth,3)+37)</f>
        <v/>
      </c>
      <c r="E17" s="60">
        <f>IF(MONTH(PlanMonth-WEEKDAY(PlanMonth,3)+38)&lt;&gt;MONTH(PlanMonth),"",PlanMonth-WEEKDAY(PlanMonth,3)+38)</f>
        <v/>
      </c>
      <c r="F17" s="60">
        <f>IF(MONTH(PlanMonth-WEEKDAY(PlanMonth,3)+39)&lt;&gt;MONTH(PlanMonth),"",PlanMonth-WEEKDAY(PlanMonth,3)+39)</f>
        <v/>
      </c>
      <c r="G17" s="60">
        <f>IF(MONTH(PlanMonth-WEEKDAY(PlanMonth,3)+40)&lt;&gt;MONTH(PlanMonth),"",PlanMonth-WEEKDAY(PlanMonth,3)+40)</f>
        <v/>
      </c>
      <c r="H17" s="60">
        <f>IF(MONTH(PlanMonth-WEEKDAY(PlanMonth,3)+41)&lt;&gt;MONTH(PlanMonth),"",PlanMonth-WEEKDAY(PlanMonth,3)+41)</f>
        <v/>
      </c>
    </row>
    <row r="18" ht="38" customHeight="1">
      <c r="B18" s="61">
        <f>IF(B17="","",IF(COUNTIFS('Tasks'!$D$7:$D$106,B17,'Tasks'!$F$7:$F$106,"&lt;&gt;Done")=0,"",COUNTIFS('Tasks'!$D$7:$D$106,B17,'Tasks'!$F$7:$F$106,"&lt;&gt;Done")&amp;" due"))</f>
        <v/>
      </c>
      <c r="C18" s="61">
        <f>IF(C17="","",IF(COUNTIFS('Tasks'!$D$7:$D$106,C17,'Tasks'!$F$7:$F$106,"&lt;&gt;Done")=0,"",COUNTIFS('Tasks'!$D$7:$D$106,C17,'Tasks'!$F$7:$F$106,"&lt;&gt;Done")&amp;" due"))</f>
        <v/>
      </c>
      <c r="D18" s="61">
        <f>IF(D17="","",IF(COUNTIFS('Tasks'!$D$7:$D$106,D17,'Tasks'!$F$7:$F$106,"&lt;&gt;Done")=0,"",COUNTIFS('Tasks'!$D$7:$D$106,D17,'Tasks'!$F$7:$F$106,"&lt;&gt;Done")&amp;" due"))</f>
        <v/>
      </c>
      <c r="E18" s="61">
        <f>IF(E17="","",IF(COUNTIFS('Tasks'!$D$7:$D$106,E17,'Tasks'!$F$7:$F$106,"&lt;&gt;Done")=0,"",COUNTIFS('Tasks'!$D$7:$D$106,E17,'Tasks'!$F$7:$F$106,"&lt;&gt;Done")&amp;" due"))</f>
        <v/>
      </c>
      <c r="F18" s="61">
        <f>IF(F17="","",IF(COUNTIFS('Tasks'!$D$7:$D$106,F17,'Tasks'!$F$7:$F$106,"&lt;&gt;Done")=0,"",COUNTIFS('Tasks'!$D$7:$D$106,F17,'Tasks'!$F$7:$F$106,"&lt;&gt;Done")&amp;" due"))</f>
        <v/>
      </c>
      <c r="G18" s="61">
        <f>IF(G17="","",IF(COUNTIFS('Tasks'!$D$7:$D$106,G17,'Tasks'!$F$7:$F$106,"&lt;&gt;Done")=0,"",COUNTIFS('Tasks'!$D$7:$D$106,G17,'Tasks'!$F$7:$F$106,"&lt;&gt;Done")&amp;" due"))</f>
        <v/>
      </c>
      <c r="H18" s="61">
        <f>IF(H17="","",IF(COUNTIFS('Tasks'!$D$7:$D$106,H17,'Tasks'!$F$7:$F$106,"&lt;&gt;Done")=0,"",COUNTIFS('Tasks'!$D$7:$D$106,H17,'Tasks'!$F$7:$F$106,"&lt;&gt;Done")&amp;" due"))</f>
        <v/>
      </c>
    </row>
  </sheetData>
  <mergeCells count="1">
    <mergeCell ref="B5:D5"/>
  </mergeCells>
  <conditionalFormatting sqref="B7:H7">
    <cfRule type="expression" priority="1" dxfId="6">
      <formula>B7=TODAY()</formula>
    </cfRule>
  </conditionalFormatting>
  <conditionalFormatting sqref="B9:H9">
    <cfRule type="expression" priority="2" dxfId="6">
      <formula>B9=TODAY()</formula>
    </cfRule>
  </conditionalFormatting>
  <conditionalFormatting sqref="B11:H11">
    <cfRule type="expression" priority="3" dxfId="6">
      <formula>B11=TODAY()</formula>
    </cfRule>
  </conditionalFormatting>
  <conditionalFormatting sqref="B13:H13">
    <cfRule type="expression" priority="4" dxfId="6">
      <formula>B13=TODAY()</formula>
    </cfRule>
  </conditionalFormatting>
  <conditionalFormatting sqref="B15:H15">
    <cfRule type="expression" priority="5" dxfId="6">
      <formula>B15=TODAY()</formula>
    </cfRule>
  </conditionalFormatting>
  <conditionalFormatting sqref="B17:H17">
    <cfRule type="expression" priority="6" dxfId="6">
      <formula>B17=TODAY()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2026-10-11T15:37:29Z</dcterms:created>
  <dcterms:modified xmlns:dcterms="http://purl.org/dc/terms/" xmlns:xsi="http://www.w3.org/2001/XMLSchema-instance" xsi:type="dcterms:W3CDTF">2026-10-11T15:37:29Z</dcterms:modified>
</cp:coreProperties>
</file>