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3" autoFilterDateGrouping="1"/>
  </bookViews>
  <sheets>
    <sheet xmlns:r="http://schemas.openxmlformats.org/officeDocument/2006/relationships" name="Start Here" sheetId="1" state="visible" r:id="rId1"/>
    <sheet xmlns:r="http://schemas.openxmlformats.org/officeDocument/2006/relationships" name="Setup" sheetId="2" state="visible" r:id="rId2"/>
    <sheet xmlns:r="http://schemas.openxmlformats.org/officeDocument/2006/relationships" name="Transactions" sheetId="3" state="visible" r:id="rId3"/>
    <sheet xmlns:r="http://schemas.openxmlformats.org/officeDocument/2006/relationships" name="Dashboard" sheetId="4" state="visible" r:id="rId4"/>
    <sheet xmlns:r="http://schemas.openxmlformats.org/officeDocument/2006/relationships" name="Annual" sheetId="5" state="visible" r:id="rId5"/>
    <sheet xmlns:r="http://schemas.openxmlformats.org/officeDocument/2006/relationships" name="Debt Payoff" sheetId="6" state="visible" r:id="rId6"/>
    <sheet xmlns:r="http://schemas.openxmlformats.org/officeDocument/2006/relationships" name="Savings Goals" sheetId="7" state="visible" r:id="rId7"/>
  </sheets>
  <definedNames/>
  <calcPr calcId="124519" fullCalcOnLoad="1"/>
</workbook>
</file>

<file path=xl/styles.xml><?xml version="1.0" encoding="utf-8"?>
<styleSheet xmlns="http://schemas.openxmlformats.org/spreadsheetml/2006/main">
  <numFmts count="7">
    <numFmt numFmtId="164" formatCode="$#,##0.00;[Red]-$#,##0.00"/>
    <numFmt numFmtId="165" formatCode="yyyy-mm-dd"/>
    <numFmt numFmtId="166" formatCode="mmm d, yyyy"/>
    <numFmt numFmtId="167" formatCode="$#,##0;[Red]-$#,##0"/>
    <numFmt numFmtId="168" formatCode="0.0%"/>
    <numFmt numFmtId="169" formatCode="#,##0;-#,##0;&quot;-&quot;"/>
    <numFmt numFmtId="170" formatCode="$#,##0"/>
  </numFmts>
  <fonts count="11">
    <font>
      <name val="Calibri"/>
      <family val="2"/>
      <color theme="1"/>
      <sz val="11"/>
      <scheme val="minor"/>
    </font>
    <font>
      <name val="Arial"/>
      <b val="1"/>
      <color rgb="002F6B4F"/>
      <sz val="20"/>
    </font>
    <font>
      <name val="Arial"/>
      <color rgb="006B7A71"/>
      <sz val="10"/>
    </font>
    <font>
      <name val="Arial"/>
      <b val="1"/>
      <color rgb="001F2A24"/>
      <sz val="11"/>
    </font>
    <font>
      <name val="Arial"/>
      <color rgb="001F2A24"/>
      <sz val="11"/>
    </font>
    <font>
      <name val="Arial"/>
      <b val="1"/>
      <color rgb="002F6B4F"/>
    </font>
    <font>
      <name val="Arial"/>
      <b val="1"/>
      <color rgb="00FFFFFF"/>
      <sz val="10"/>
    </font>
    <font>
      <name val="Arial"/>
      <b val="1"/>
      <color rgb="001F2A24"/>
    </font>
    <font>
      <name val="Arial"/>
      <b val="1"/>
      <color rgb="001F2A24"/>
      <sz val="12"/>
    </font>
    <font>
      <name val="Arial"/>
      <b val="1"/>
      <color rgb="006B7A71"/>
      <sz val="9"/>
    </font>
    <font>
      <name val="Arial"/>
      <b val="1"/>
      <color rgb="002F6B4F"/>
      <sz val="16"/>
    </font>
  </fonts>
  <fills count="5">
    <fill>
      <patternFill/>
    </fill>
    <fill>
      <patternFill patternType="gray125"/>
    </fill>
    <fill>
      <patternFill patternType="solid">
        <fgColor rgb="002F6B4F"/>
      </patternFill>
    </fill>
    <fill>
      <patternFill patternType="solid">
        <fgColor rgb="00E4EFE8"/>
      </patternFill>
    </fill>
    <fill>
      <patternFill patternType="solid">
        <fgColor rgb="00FFF2C6"/>
      </patternFill>
    </fill>
  </fills>
  <borders count="2">
    <border>
      <left/>
      <right/>
      <top/>
      <bottom/>
      <diagonal/>
    </border>
    <border>
      <bottom style="thin">
        <color rgb="00D9E2DC"/>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horizontal="center" vertical="center"/>
    </xf>
    <xf numFmtId="0" fontId="0" fillId="3" borderId="0" pivotButton="0" quotePrefix="0" xfId="0"/>
    <xf numFmtId="164" fontId="0" fillId="3" borderId="0" pivotButton="0" quotePrefix="0" xfId="0"/>
    <xf numFmtId="0" fontId="7" fillId="0" borderId="0" pivotButton="0" quotePrefix="0" xfId="0"/>
    <xf numFmtId="164" fontId="7" fillId="0" borderId="0" pivotButton="0" quotePrefix="0" xfId="0"/>
    <xf numFmtId="166" fontId="0" fillId="3" borderId="0" pivotButton="0" quotePrefix="0" xfId="0"/>
    <xf numFmtId="0" fontId="0" fillId="0" borderId="0" applyAlignment="1" pivotButton="0" quotePrefix="0" xfId="0">
      <alignment horizontal="center"/>
    </xf>
    <xf numFmtId="0" fontId="8" fillId="4" borderId="0" pivotButton="0" quotePrefix="0" xfId="0"/>
    <xf numFmtId="0" fontId="9" fillId="0" borderId="0" applyAlignment="1" pivotButton="0" quotePrefix="0" xfId="0">
      <alignment horizontal="center"/>
    </xf>
    <xf numFmtId="167" fontId="10" fillId="3" borderId="0" applyAlignment="1" pivotButton="0" quotePrefix="0" xfId="0">
      <alignment horizontal="center"/>
    </xf>
    <xf numFmtId="168" fontId="5" fillId="0" borderId="0" pivotButton="0" quotePrefix="0" xfId="0"/>
    <xf numFmtId="0" fontId="0" fillId="0" borderId="1" pivotButton="0" quotePrefix="0" xfId="0"/>
    <xf numFmtId="164" fontId="0" fillId="0" borderId="1" pivotButton="0" quotePrefix="0" xfId="0"/>
    <xf numFmtId="9" fontId="0" fillId="0" borderId="1" pivotButton="0" quotePrefix="0" xfId="0"/>
    <xf numFmtId="169" fontId="0" fillId="0" borderId="0" pivotButton="0" quotePrefix="0" xfId="0"/>
    <xf numFmtId="170" fontId="0" fillId="0" borderId="0" pivotButton="0" quotePrefix="0" xfId="0"/>
    <xf numFmtId="167" fontId="7" fillId="3" borderId="0" pivotButton="0" quotePrefix="0" xfId="0"/>
    <xf numFmtId="167" fontId="5" fillId="3" borderId="0" pivotButton="0" quotePrefix="0" xfId="0"/>
    <xf numFmtId="168" fontId="0" fillId="3" borderId="0" pivotButton="0" quotePrefix="0" xfId="0"/>
    <xf numFmtId="164" fontId="0" fillId="0" borderId="0" pivotButton="0" quotePrefix="0" xfId="0"/>
    <xf numFmtId="9" fontId="0" fillId="0" borderId="0" pivotButton="0" quotePrefix="0" xfId="0"/>
    <xf numFmtId="9" fontId="5" fillId="0" borderId="0" pivotButton="0" quotePrefix="0" xfId="0"/>
  </cellXfs>
  <cellStyles count="1">
    <cellStyle name="Normal" xfId="0" builtinId="0" hidden="0"/>
  </cellStyles>
  <dxfs count="3">
    <dxf>
      <font>
        <b val="1"/>
        <color rgb="00B23A1E"/>
      </font>
      <fill>
        <patternFill patternType="solid">
          <fgColor rgb="00F9D9D0"/>
        </patternFill>
      </fill>
    </dxf>
    <dxf>
      <fill>
        <patternFill patternType="solid">
          <fgColor rgb="00FFF2C6"/>
        </patternFill>
      </fill>
    </dxf>
    <dxf>
      <font>
        <b val="1"/>
        <color rgb="00B23A1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Spending by category</a:t>
            </a:r>
          </a:p>
        </rich>
      </tx>
    </title>
    <plotArea>
      <doughnutChart>
        <varyColors val="1"/>
        <ser>
          <idx val="0"/>
          <order val="0"/>
          <tx>
            <strRef>
              <f>'Dashboard'!D10</f>
            </strRef>
          </tx>
          <spPr>
            <a:ln xmlns:a="http://schemas.openxmlformats.org/drawingml/2006/main">
              <a:prstDash val="solid"/>
            </a:ln>
          </spPr>
          <cat>
            <numRef>
              <f>'Dashboard'!$B$11:$B$28</f>
            </numRef>
          </cat>
          <val>
            <numRef>
              <f>'Dashboard'!$D$11:$D$28</f>
            </numRef>
          </val>
        </ser>
        <firstSliceAng val="0"/>
        <holeSize val="55"/>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Spent per month</a:t>
            </a:r>
          </a:p>
        </rich>
      </tx>
    </title>
    <plotArea>
      <barChart>
        <barDir val="col"/>
        <grouping val="clustered"/>
        <ser>
          <idx val="0"/>
          <order val="0"/>
          <spPr>
            <a:ln xmlns:a="http://schemas.openxmlformats.org/drawingml/2006/main">
              <a:prstDash val="solid"/>
            </a:ln>
          </spPr>
          <cat>
            <numRef>
              <f>'Annual'!$C$5:$N$5</f>
            </numRef>
          </cat>
          <val>
            <numRef>
              <f>'Annual'!$C$36:$N$36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7</col>
      <colOff>0</colOff>
      <row>9</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40</row>
      <rowOff>0</rowOff>
    </from>
    <ext cx="79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2F6B4F"/>
    <outlinePr summaryBelow="1" summaryRight="1"/>
    <pageSetUpPr/>
  </sheetPr>
  <dimension ref="B2:B15"/>
  <sheetViews>
    <sheetView showGridLines="0" workbookViewId="0">
      <selection activeCell="A1" sqref="A1"/>
    </sheetView>
  </sheetViews>
  <sheetFormatPr baseColWidth="8" defaultRowHeight="15"/>
  <cols>
    <col width="3" customWidth="1" min="1" max="1"/>
    <col width="90" customWidth="1" min="2" max="2"/>
  </cols>
  <sheetData>
    <row r="2" ht="30" customHeight="1">
      <c r="B2" s="1" t="inlineStr">
        <is>
          <t>Annual Budget Planner 2027</t>
        </is>
      </c>
    </row>
    <row r="3">
      <c r="B3" s="2" t="inlineStr">
        <is>
          <t>Read me first - 2 minutes</t>
        </is>
      </c>
    </row>
    <row r="5" ht="30" customHeight="1">
      <c r="B5" s="3" t="inlineStr">
        <is>
          <t>1. SETUP tab: type your income sources and your budget categories (green cells). Categories feed every other tab.</t>
        </is>
      </c>
    </row>
    <row r="6" ht="30" customHeight="1">
      <c r="B6" s="3" t="inlineStr">
        <is>
          <t>2. TRANSACTIONS tab: log each expense - date, category (drop-down), description, amount. The month fills in by itself.</t>
        </is>
      </c>
    </row>
    <row r="7" ht="30" customHeight="1">
      <c r="B7" s="3" t="inlineStr">
        <is>
          <t>3. DASHBOARD tab: pick a month in the yellow cell. Totals, budget vs actual and the chart update automatically.</t>
        </is>
      </c>
    </row>
    <row r="8" ht="30" customHeight="1">
      <c r="B8" s="3" t="inlineStr">
        <is>
          <t>4. ANNUAL tab: your whole year at a glance, month by month and category by category.</t>
        </is>
      </c>
    </row>
    <row r="9" ht="30" customHeight="1">
      <c r="B9" s="3" t="inlineStr">
        <is>
          <t>5. DEBT PAYOFF and SAVINGS GOALS: enter balances and targets, progress bars fill in as you go.</t>
        </is>
      </c>
    </row>
    <row r="10" ht="10" customHeight="1">
      <c r="B10" s="4" t="inlineStr"/>
    </row>
    <row r="11" ht="30" customHeight="1">
      <c r="B11" s="4" t="inlineStr">
        <is>
          <t>Only type in green-shaded cells. White cells contain formulas - leave them as they are.</t>
        </is>
      </c>
    </row>
    <row r="12" ht="30" customHeight="1">
      <c r="B12" s="4" t="inlineStr">
        <is>
          <t>Works in Google Sheets (File &gt; Import, or open from Drive) and Microsoft Excel 2016 or newer.</t>
        </is>
      </c>
    </row>
    <row r="13" ht="30" customHeight="1">
      <c r="B13" s="4" t="inlineStr">
        <is>
          <t>Sample data is included so you can see it working. Clear it from the green cells when you are ready.</t>
        </is>
      </c>
    </row>
    <row r="14" ht="10" customHeight="1">
      <c r="B14" s="4" t="inlineStr"/>
    </row>
    <row r="15" ht="30" customHeight="1">
      <c r="B15" s="4" t="inlineStr">
        <is>
          <t>This is a personal budgeting tool, not financial advice.</t>
        </is>
      </c>
    </row>
  </sheetData>
  <pageMargins left="0.75" right="0.75" top="1" bottom="1" header="0.5" footer="0.5"/>
</worksheet>
</file>

<file path=xl/worksheets/sheet2.xml><?xml version="1.0" encoding="utf-8"?>
<worksheet xmlns="http://schemas.openxmlformats.org/spreadsheetml/2006/main">
  <sheetPr>
    <tabColor rgb="002F6B4F"/>
    <outlinePr summaryBelow="1" summaryRight="1"/>
    <pageSetUpPr/>
  </sheetPr>
  <dimension ref="B2:D46"/>
  <sheetViews>
    <sheetView showGridLines="0" workbookViewId="0">
      <selection activeCell="A1" sqref="A1"/>
    </sheetView>
  </sheetViews>
  <sheetFormatPr baseColWidth="8" defaultRowHeight="15"/>
  <cols>
    <col width="3" customWidth="1" min="1" max="1"/>
    <col width="28" customWidth="1" min="2" max="2"/>
    <col width="14" customWidth="1" min="3" max="3"/>
    <col width="16" customWidth="1" min="4" max="4"/>
    <col width="4" customWidth="1" min="5" max="5"/>
    <col width="26" customWidth="1" min="6" max="6"/>
    <col width="16" customWidth="1" min="7" max="7"/>
  </cols>
  <sheetData>
    <row r="2" ht="30" customHeight="1">
      <c r="B2" s="1" t="inlineStr">
        <is>
          <t>Setup</t>
        </is>
      </c>
    </row>
    <row r="3">
      <c r="B3" s="2" t="inlineStr">
        <is>
          <t>Your income and budget categories</t>
        </is>
      </c>
    </row>
    <row r="5">
      <c r="B5" s="5" t="inlineStr">
        <is>
          <t>INCOME (monthly)</t>
        </is>
      </c>
    </row>
    <row r="6" ht="22" customHeight="1">
      <c r="B6" s="6" t="inlineStr">
        <is>
          <t>Source</t>
        </is>
      </c>
      <c r="C6" s="6" t="inlineStr"/>
      <c r="D6" s="6" t="inlineStr">
        <is>
          <t>Amount</t>
        </is>
      </c>
    </row>
    <row r="7">
      <c r="B7" s="7" t="inlineStr">
        <is>
          <t>Paycheck - Main job</t>
        </is>
      </c>
      <c r="D7" s="8" t="n">
        <v>3200</v>
      </c>
    </row>
    <row r="8">
      <c r="B8" s="7" t="inlineStr">
        <is>
          <t>Paycheck - Partner</t>
        </is>
      </c>
      <c r="D8" s="8" t="n">
        <v>2450</v>
      </c>
    </row>
    <row r="9">
      <c r="B9" s="7" t="inlineStr">
        <is>
          <t>Side hustle</t>
        </is>
      </c>
      <c r="D9" s="8" t="n">
        <v>380</v>
      </c>
    </row>
    <row r="10">
      <c r="B10" s="7" t="n"/>
      <c r="D10" s="8" t="n"/>
    </row>
    <row r="11">
      <c r="B11" s="7" t="n"/>
      <c r="D11" s="8" t="n"/>
    </row>
    <row r="12">
      <c r="B12" s="9" t="inlineStr">
        <is>
          <t>Total income</t>
        </is>
      </c>
      <c r="D12" s="10">
        <f>SUM(D7:D11)</f>
        <v/>
      </c>
    </row>
    <row r="14">
      <c r="B14" s="5" t="inlineStr">
        <is>
          <t>BUDGET CATEGORIES</t>
        </is>
      </c>
    </row>
    <row r="15" ht="22" customHeight="1">
      <c r="B15" s="6" t="inlineStr">
        <is>
          <t>Category</t>
        </is>
      </c>
      <c r="C15" s="6" t="inlineStr">
        <is>
          <t>Group</t>
        </is>
      </c>
      <c r="D15" s="6" t="inlineStr">
        <is>
          <t>Monthly budget</t>
        </is>
      </c>
    </row>
    <row r="16">
      <c r="B16" s="7" t="inlineStr">
        <is>
          <t>Rent / Mortgage</t>
        </is>
      </c>
      <c r="C16" s="7" t="inlineStr">
        <is>
          <t>Bills</t>
        </is>
      </c>
      <c r="D16" s="8" t="n">
        <v>1650</v>
      </c>
    </row>
    <row r="17">
      <c r="B17" s="7" t="inlineStr">
        <is>
          <t>Utilities</t>
        </is>
      </c>
      <c r="C17" s="7" t="inlineStr">
        <is>
          <t>Bills</t>
        </is>
      </c>
      <c r="D17" s="8" t="n">
        <v>210</v>
      </c>
    </row>
    <row r="18">
      <c r="B18" s="7" t="inlineStr">
        <is>
          <t>Phone &amp; Internet</t>
        </is>
      </c>
      <c r="C18" s="7" t="inlineStr">
        <is>
          <t>Bills</t>
        </is>
      </c>
      <c r="D18" s="8" t="n">
        <v>120</v>
      </c>
    </row>
    <row r="19">
      <c r="B19" s="7" t="inlineStr">
        <is>
          <t>Insurance</t>
        </is>
      </c>
      <c r="C19" s="7" t="inlineStr">
        <is>
          <t>Bills</t>
        </is>
      </c>
      <c r="D19" s="8" t="n">
        <v>185</v>
      </c>
    </row>
    <row r="20">
      <c r="B20" s="7" t="inlineStr">
        <is>
          <t>Subscriptions</t>
        </is>
      </c>
      <c r="C20" s="7" t="inlineStr">
        <is>
          <t>Bills</t>
        </is>
      </c>
      <c r="D20" s="8" t="n">
        <v>48</v>
      </c>
    </row>
    <row r="21">
      <c r="B21" s="7" t="inlineStr">
        <is>
          <t>Groceries</t>
        </is>
      </c>
      <c r="C21" s="7" t="inlineStr">
        <is>
          <t>Living</t>
        </is>
      </c>
      <c r="D21" s="8" t="n">
        <v>620</v>
      </c>
    </row>
    <row r="22">
      <c r="B22" s="7" t="inlineStr">
        <is>
          <t>Dining Out</t>
        </is>
      </c>
      <c r="C22" s="7" t="inlineStr">
        <is>
          <t>Living</t>
        </is>
      </c>
      <c r="D22" s="8" t="n">
        <v>180</v>
      </c>
    </row>
    <row r="23">
      <c r="B23" s="7" t="inlineStr">
        <is>
          <t>Transportation</t>
        </is>
      </c>
      <c r="C23" s="7" t="inlineStr">
        <is>
          <t>Living</t>
        </is>
      </c>
      <c r="D23" s="8" t="n">
        <v>260</v>
      </c>
    </row>
    <row r="24">
      <c r="B24" s="7" t="inlineStr">
        <is>
          <t>Health</t>
        </is>
      </c>
      <c r="C24" s="7" t="inlineStr">
        <is>
          <t>Living</t>
        </is>
      </c>
      <c r="D24" s="8" t="n">
        <v>90</v>
      </c>
    </row>
    <row r="25">
      <c r="B25" s="7" t="inlineStr">
        <is>
          <t>Personal Care</t>
        </is>
      </c>
      <c r="C25" s="7" t="inlineStr">
        <is>
          <t>Living</t>
        </is>
      </c>
      <c r="D25" s="8" t="n">
        <v>70</v>
      </c>
    </row>
    <row r="26">
      <c r="B26" s="7" t="inlineStr">
        <is>
          <t>Shopping</t>
        </is>
      </c>
      <c r="C26" s="7" t="inlineStr">
        <is>
          <t>Living</t>
        </is>
      </c>
      <c r="D26" s="8" t="n">
        <v>150</v>
      </c>
    </row>
    <row r="27">
      <c r="B27" s="7" t="inlineStr">
        <is>
          <t>Entertainment</t>
        </is>
      </c>
      <c r="C27" s="7" t="inlineStr">
        <is>
          <t>Living</t>
        </is>
      </c>
      <c r="D27" s="8" t="n">
        <v>110</v>
      </c>
    </row>
    <row r="28">
      <c r="B28" s="7" t="inlineStr">
        <is>
          <t>Gifts</t>
        </is>
      </c>
      <c r="C28" s="7" t="inlineStr">
        <is>
          <t>Living</t>
        </is>
      </c>
      <c r="D28" s="8" t="n">
        <v>60</v>
      </c>
    </row>
    <row r="29">
      <c r="B29" s="7" t="inlineStr">
        <is>
          <t>Emergency Fund</t>
        </is>
      </c>
      <c r="C29" s="7" t="inlineStr">
        <is>
          <t>Savings</t>
        </is>
      </c>
      <c r="D29" s="8" t="n">
        <v>400</v>
      </c>
    </row>
    <row r="30">
      <c r="B30" s="7" t="inlineStr">
        <is>
          <t>Vacation Fund</t>
        </is>
      </c>
      <c r="C30" s="7" t="inlineStr">
        <is>
          <t>Savings</t>
        </is>
      </c>
      <c r="D30" s="8" t="n">
        <v>200</v>
      </c>
    </row>
    <row r="31">
      <c r="B31" s="7" t="inlineStr">
        <is>
          <t>Retirement</t>
        </is>
      </c>
      <c r="C31" s="7" t="inlineStr">
        <is>
          <t>Savings</t>
        </is>
      </c>
      <c r="D31" s="8" t="n">
        <v>350</v>
      </c>
    </row>
    <row r="32">
      <c r="B32" s="7" t="inlineStr">
        <is>
          <t>Credit Card</t>
        </is>
      </c>
      <c r="C32" s="7" t="inlineStr">
        <is>
          <t>Debt</t>
        </is>
      </c>
      <c r="D32" s="8" t="n">
        <v>300</v>
      </c>
    </row>
    <row r="33">
      <c r="B33" s="7" t="inlineStr">
        <is>
          <t>Car Loan</t>
        </is>
      </c>
      <c r="C33" s="7" t="inlineStr">
        <is>
          <t>Debt</t>
        </is>
      </c>
      <c r="D33" s="8" t="n">
        <v>285</v>
      </c>
    </row>
    <row r="34">
      <c r="B34" s="7" t="n"/>
      <c r="C34" s="7" t="n"/>
      <c r="D34" s="8" t="n"/>
    </row>
    <row r="35">
      <c r="B35" s="7" t="n"/>
      <c r="C35" s="7" t="n"/>
      <c r="D35" s="8" t="n"/>
    </row>
    <row r="36">
      <c r="B36" s="7" t="n"/>
      <c r="C36" s="7" t="n"/>
      <c r="D36" s="8" t="n"/>
    </row>
    <row r="37">
      <c r="B37" s="7" t="n"/>
      <c r="C37" s="7" t="n"/>
      <c r="D37" s="8" t="n"/>
    </row>
    <row r="38">
      <c r="B38" s="7" t="n"/>
      <c r="C38" s="7" t="n"/>
      <c r="D38" s="8" t="n"/>
    </row>
    <row r="39">
      <c r="B39" s="7" t="n"/>
      <c r="C39" s="7" t="n"/>
      <c r="D39" s="8" t="n"/>
    </row>
    <row r="40">
      <c r="B40" s="7" t="n"/>
      <c r="C40" s="7" t="n"/>
      <c r="D40" s="8" t="n"/>
    </row>
    <row r="41">
      <c r="B41" s="7" t="n"/>
      <c r="C41" s="7" t="n"/>
      <c r="D41" s="8" t="n"/>
    </row>
    <row r="42">
      <c r="B42" s="7" t="n"/>
      <c r="C42" s="7" t="n"/>
      <c r="D42" s="8" t="n"/>
    </row>
    <row r="43">
      <c r="B43" s="7" t="n"/>
      <c r="C43" s="7" t="n"/>
      <c r="D43" s="8" t="n"/>
    </row>
    <row r="44">
      <c r="B44" s="7" t="n"/>
      <c r="C44" s="7" t="n"/>
      <c r="D44" s="8" t="n"/>
    </row>
    <row r="45">
      <c r="B45" s="7" t="n"/>
      <c r="C45" s="7" t="n"/>
      <c r="D45" s="8" t="n"/>
    </row>
    <row r="46">
      <c r="B46" s="9" t="inlineStr">
        <is>
          <t>Total budget</t>
        </is>
      </c>
      <c r="D46" s="10">
        <f>SUM(D16:D45)</f>
        <v/>
      </c>
    </row>
  </sheetData>
  <dataValidations count="1">
    <dataValidation sqref="C16 C17 C18 C19 C20 C21 C22 C23 C24 C25 C26 C27 C28 C29 C30 C31 C32 C33 C34 C35 C36 C37 C38 C39 C40 C41 C42 C43 C44 C45" showDropDown="0" showInputMessage="0" showErrorMessage="0" allowBlank="0" type="list">
      <formula1>"Bills,Living,Savings,Debt"</formula1>
    </dataValidation>
  </dataValidations>
  <pageMargins left="0.75" right="0.75" top="1" bottom="1" header="0.5" footer="0.5"/>
</worksheet>
</file>

<file path=xl/worksheets/sheet3.xml><?xml version="1.0" encoding="utf-8"?>
<worksheet xmlns="http://schemas.openxmlformats.org/spreadsheetml/2006/main">
  <sheetPr>
    <tabColor rgb="002F6B4F"/>
    <outlinePr summaryBelow="1" summaryRight="1"/>
    <pageSetUpPr/>
  </sheetPr>
  <dimension ref="B2:F100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3" customWidth="1" min="2" max="2"/>
    <col width="24" customWidth="1" min="3" max="3"/>
    <col width="30" customWidth="1" min="4" max="4"/>
    <col width="14" customWidth="1" min="5" max="5"/>
    <col width="9" customWidth="1" min="6" max="6"/>
  </cols>
  <sheetData>
    <row r="2" ht="30" customHeight="1">
      <c r="B2" s="1" t="inlineStr">
        <is>
          <t>Transactions</t>
        </is>
      </c>
    </row>
    <row r="3">
      <c r="B3" s="2" t="inlineStr">
        <is>
          <t>Log every expense here</t>
        </is>
      </c>
    </row>
    <row r="5" ht="22" customHeight="1">
      <c r="B5" s="6" t="inlineStr">
        <is>
          <t>Date</t>
        </is>
      </c>
      <c r="C5" s="6" t="inlineStr">
        <is>
          <t>Category</t>
        </is>
      </c>
      <c r="D5" s="6" t="inlineStr">
        <is>
          <t>Description</t>
        </is>
      </c>
      <c r="E5" s="6" t="inlineStr">
        <is>
          <t>Amount</t>
        </is>
      </c>
      <c r="F5" s="6" t="inlineStr">
        <is>
          <t>Month</t>
        </is>
      </c>
    </row>
    <row r="6">
      <c r="B6" s="11" t="n">
        <v>46388</v>
      </c>
      <c r="C6" s="7" t="inlineStr">
        <is>
          <t>Rent / Mortgage</t>
        </is>
      </c>
      <c r="D6" s="7" t="inlineStr">
        <is>
          <t>Rent / Mortgage</t>
        </is>
      </c>
      <c r="E6" s="8" t="n">
        <v>1650</v>
      </c>
      <c r="F6" s="12">
        <f>IF(B6="","",TEXT(B6,"mmm"))</f>
        <v/>
      </c>
    </row>
    <row r="7">
      <c r="B7" s="11" t="n">
        <v>46389</v>
      </c>
      <c r="C7" s="7" t="inlineStr">
        <is>
          <t>Dining Out</t>
        </is>
      </c>
      <c r="D7" s="7" t="inlineStr">
        <is>
          <t>Taco place</t>
        </is>
      </c>
      <c r="E7" s="8" t="n">
        <v>38.71</v>
      </c>
      <c r="F7" s="12">
        <f>IF(B7="","",TEXT(B7,"mmm"))</f>
        <v/>
      </c>
    </row>
    <row r="8">
      <c r="B8" s="11" t="n">
        <v>46389</v>
      </c>
      <c r="C8" s="7" t="inlineStr">
        <is>
          <t>Transportation</t>
        </is>
      </c>
      <c r="D8" s="7" t="inlineStr">
        <is>
          <t>Gas station</t>
        </is>
      </c>
      <c r="E8" s="8" t="n">
        <v>41.07</v>
      </c>
      <c r="F8" s="12">
        <f>IF(B8="","",TEXT(B8,"mmm"))</f>
        <v/>
      </c>
    </row>
    <row r="9">
      <c r="B9" s="11" t="n">
        <v>46390</v>
      </c>
      <c r="C9" s="7" t="inlineStr">
        <is>
          <t>Groceries</t>
        </is>
      </c>
      <c r="D9" s="7" t="inlineStr">
        <is>
          <t>Corner Store</t>
        </is>
      </c>
      <c r="E9" s="8" t="n">
        <v>103.21</v>
      </c>
      <c r="F9" s="12">
        <f>IF(B9="","",TEXT(B9,"mmm"))</f>
        <v/>
      </c>
    </row>
    <row r="10">
      <c r="B10" s="11" t="n">
        <v>46390</v>
      </c>
      <c r="C10" s="7" t="inlineStr">
        <is>
          <t>Utilities</t>
        </is>
      </c>
      <c r="D10" s="7" t="inlineStr">
        <is>
          <t>Electric &amp; water</t>
        </is>
      </c>
      <c r="E10" s="8" t="n">
        <v>194.32</v>
      </c>
      <c r="F10" s="12">
        <f>IF(B10="","",TEXT(B10,"mmm"))</f>
        <v/>
      </c>
    </row>
    <row r="11">
      <c r="B11" s="11" t="n">
        <v>46392</v>
      </c>
      <c r="C11" s="7" t="inlineStr">
        <is>
          <t>Groceries</t>
        </is>
      </c>
      <c r="D11" s="7" t="inlineStr">
        <is>
          <t>Green Grocer</t>
        </is>
      </c>
      <c r="E11" s="8" t="n">
        <v>129.26</v>
      </c>
      <c r="F11" s="12">
        <f>IF(B11="","",TEXT(B11,"mmm"))</f>
        <v/>
      </c>
    </row>
    <row r="12">
      <c r="B12" s="11" t="n">
        <v>46392</v>
      </c>
      <c r="C12" s="7" t="inlineStr">
        <is>
          <t>Phone &amp; Internet</t>
        </is>
      </c>
      <c r="D12" s="7" t="inlineStr">
        <is>
          <t>Phone &amp; Internet</t>
        </is>
      </c>
      <c r="E12" s="8" t="n">
        <v>120</v>
      </c>
      <c r="F12" s="12">
        <f>IF(B12="","",TEXT(B12,"mmm"))</f>
        <v/>
      </c>
    </row>
    <row r="13">
      <c r="B13" s="11" t="n">
        <v>46392</v>
      </c>
      <c r="C13" s="7" t="inlineStr">
        <is>
          <t>Transportation</t>
        </is>
      </c>
      <c r="D13" s="7" t="inlineStr">
        <is>
          <t>Parking</t>
        </is>
      </c>
      <c r="E13" s="8" t="n">
        <v>43.44</v>
      </c>
      <c r="F13" s="12">
        <f>IF(B13="","",TEXT(B13,"mmm"))</f>
        <v/>
      </c>
    </row>
    <row r="14">
      <c r="B14" s="11" t="n">
        <v>46393</v>
      </c>
      <c r="C14" s="7" t="inlineStr">
        <is>
          <t>Shopping</t>
        </is>
      </c>
      <c r="D14" s="7" t="inlineStr">
        <is>
          <t>Clothing store</t>
        </is>
      </c>
      <c r="E14" s="8" t="n">
        <v>63.62</v>
      </c>
      <c r="F14" s="12">
        <f>IF(B14="","",TEXT(B14,"mmm"))</f>
        <v/>
      </c>
    </row>
    <row r="15">
      <c r="B15" s="11" t="n">
        <v>46394</v>
      </c>
      <c r="C15" s="7" t="inlineStr">
        <is>
          <t>Groceries</t>
        </is>
      </c>
      <c r="D15" s="7" t="inlineStr">
        <is>
          <t>Fresh Market</t>
        </is>
      </c>
      <c r="E15" s="8" t="n">
        <v>102.82</v>
      </c>
      <c r="F15" s="12">
        <f>IF(B15="","",TEXT(B15,"mmm"))</f>
        <v/>
      </c>
    </row>
    <row r="16">
      <c r="B16" s="11" t="n">
        <v>46394</v>
      </c>
      <c r="C16" s="7" t="inlineStr">
        <is>
          <t>Insurance</t>
        </is>
      </c>
      <c r="D16" s="7" t="inlineStr">
        <is>
          <t>Insurance</t>
        </is>
      </c>
      <c r="E16" s="8" t="n">
        <v>185</v>
      </c>
      <c r="F16" s="12">
        <f>IF(B16="","",TEXT(B16,"mmm"))</f>
        <v/>
      </c>
    </row>
    <row r="17">
      <c r="B17" s="11" t="n">
        <v>46395</v>
      </c>
      <c r="C17" s="7" t="inlineStr">
        <is>
          <t>Gifts</t>
        </is>
      </c>
      <c r="D17" s="7" t="inlineStr">
        <is>
          <t>Birthday gift</t>
        </is>
      </c>
      <c r="E17" s="8" t="n">
        <v>49.37</v>
      </c>
      <c r="F17" s="12">
        <f>IF(B17="","",TEXT(B17,"mmm"))</f>
        <v/>
      </c>
    </row>
    <row r="18">
      <c r="B18" s="11" t="n">
        <v>46396</v>
      </c>
      <c r="C18" s="7" t="inlineStr">
        <is>
          <t>Subscriptions</t>
        </is>
      </c>
      <c r="D18" s="7" t="inlineStr">
        <is>
          <t>Subscriptions</t>
        </is>
      </c>
      <c r="E18" s="8" t="n">
        <v>45.97</v>
      </c>
      <c r="F18" s="12">
        <f>IF(B18="","",TEXT(B18,"mmm"))</f>
        <v/>
      </c>
    </row>
    <row r="19">
      <c r="B19" s="11" t="n">
        <v>46397</v>
      </c>
      <c r="C19" s="7" t="inlineStr">
        <is>
          <t>Transportation</t>
        </is>
      </c>
      <c r="D19" s="7" t="inlineStr">
        <is>
          <t>Parking</t>
        </is>
      </c>
      <c r="E19" s="8" t="n">
        <v>66.68000000000001</v>
      </c>
      <c r="F19" s="12">
        <f>IF(B19="","",TEXT(B19,"mmm"))</f>
        <v/>
      </c>
    </row>
    <row r="20">
      <c r="B20" s="11" t="n">
        <v>46398</v>
      </c>
      <c r="C20" s="7" t="inlineStr">
        <is>
          <t>Emergency Fund</t>
        </is>
      </c>
      <c r="D20" s="7" t="inlineStr">
        <is>
          <t>Emergency Fund</t>
        </is>
      </c>
      <c r="E20" s="8" t="n">
        <v>400</v>
      </c>
      <c r="F20" s="12">
        <f>IF(B20="","",TEXT(B20,"mmm"))</f>
        <v/>
      </c>
    </row>
    <row r="21">
      <c r="B21" s="11" t="n">
        <v>46400</v>
      </c>
      <c r="C21" s="7" t="inlineStr">
        <is>
          <t>Vacation Fund</t>
        </is>
      </c>
      <c r="D21" s="7" t="inlineStr">
        <is>
          <t>Vacation Fund</t>
        </is>
      </c>
      <c r="E21" s="8" t="n">
        <v>200</v>
      </c>
      <c r="F21" s="12">
        <f>IF(B21="","",TEXT(B21,"mmm"))</f>
        <v/>
      </c>
    </row>
    <row r="22">
      <c r="B22" s="11" t="n">
        <v>46401</v>
      </c>
      <c r="C22" s="7" t="inlineStr">
        <is>
          <t>Groceries</t>
        </is>
      </c>
      <c r="D22" s="7" t="inlineStr">
        <is>
          <t>Fresh Market</t>
        </is>
      </c>
      <c r="E22" s="8" t="n">
        <v>110.06</v>
      </c>
      <c r="F22" s="12">
        <f>IF(B22="","",TEXT(B22,"mmm"))</f>
        <v/>
      </c>
    </row>
    <row r="23">
      <c r="B23" s="11" t="n">
        <v>46402</v>
      </c>
      <c r="C23" s="7" t="inlineStr">
        <is>
          <t>Personal Care</t>
        </is>
      </c>
      <c r="D23" s="7" t="inlineStr">
        <is>
          <t>Haircut</t>
        </is>
      </c>
      <c r="E23" s="8" t="n">
        <v>40.16</v>
      </c>
      <c r="F23" s="12">
        <f>IF(B23="","",TEXT(B23,"mmm"))</f>
        <v/>
      </c>
    </row>
    <row r="24">
      <c r="B24" s="11" t="n">
        <v>46402</v>
      </c>
      <c r="C24" s="7" t="inlineStr">
        <is>
          <t>Retirement</t>
        </is>
      </c>
      <c r="D24" s="7" t="inlineStr">
        <is>
          <t>Retirement</t>
        </is>
      </c>
      <c r="E24" s="8" t="n">
        <v>350</v>
      </c>
      <c r="F24" s="12">
        <f>IF(B24="","",TEXT(B24,"mmm"))</f>
        <v/>
      </c>
    </row>
    <row r="25">
      <c r="B25" s="11" t="n">
        <v>46404</v>
      </c>
      <c r="C25" s="7" t="inlineStr">
        <is>
          <t>Credit Card</t>
        </is>
      </c>
      <c r="D25" s="7" t="inlineStr">
        <is>
          <t>Credit Card</t>
        </is>
      </c>
      <c r="E25" s="8" t="n">
        <v>300</v>
      </c>
      <c r="F25" s="12">
        <f>IF(B25="","",TEXT(B25,"mmm"))</f>
        <v/>
      </c>
    </row>
    <row r="26">
      <c r="B26" s="11" t="n">
        <v>46405</v>
      </c>
      <c r="C26" s="7" t="inlineStr">
        <is>
          <t>Dining Out</t>
        </is>
      </c>
      <c r="D26" s="7" t="inlineStr">
        <is>
          <t>Coffee shop</t>
        </is>
      </c>
      <c r="E26" s="8" t="n">
        <v>24.48</v>
      </c>
      <c r="F26" s="12">
        <f>IF(B26="","",TEXT(B26,"mmm"))</f>
        <v/>
      </c>
    </row>
    <row r="27">
      <c r="B27" s="11" t="n">
        <v>46405</v>
      </c>
      <c r="C27" s="7" t="inlineStr">
        <is>
          <t>Entertainment</t>
        </is>
      </c>
      <c r="D27" s="7" t="inlineStr">
        <is>
          <t>Movie tickets</t>
        </is>
      </c>
      <c r="E27" s="8" t="n">
        <v>43.61</v>
      </c>
      <c r="F27" s="12">
        <f>IF(B27="","",TEXT(B27,"mmm"))</f>
        <v/>
      </c>
    </row>
    <row r="28">
      <c r="B28" s="11" t="n">
        <v>46405</v>
      </c>
      <c r="C28" s="7" t="inlineStr">
        <is>
          <t>Health</t>
        </is>
      </c>
      <c r="D28" s="7" t="inlineStr">
        <is>
          <t>Pharmacy</t>
        </is>
      </c>
      <c r="E28" s="8" t="n">
        <v>54.29</v>
      </c>
      <c r="F28" s="12">
        <f>IF(B28="","",TEXT(B28,"mmm"))</f>
        <v/>
      </c>
    </row>
    <row r="29">
      <c r="B29" s="11" t="n">
        <v>46406</v>
      </c>
      <c r="C29" s="7" t="inlineStr">
        <is>
          <t>Car Loan</t>
        </is>
      </c>
      <c r="D29" s="7" t="inlineStr">
        <is>
          <t>Car Loan</t>
        </is>
      </c>
      <c r="E29" s="8" t="n">
        <v>285</v>
      </c>
      <c r="F29" s="12">
        <f>IF(B29="","",TEXT(B29,"mmm"))</f>
        <v/>
      </c>
    </row>
    <row r="30">
      <c r="B30" s="11" t="n">
        <v>46406</v>
      </c>
      <c r="C30" s="7" t="inlineStr">
        <is>
          <t>Dining Out</t>
        </is>
      </c>
      <c r="D30" s="7" t="inlineStr">
        <is>
          <t>Pizza night</t>
        </is>
      </c>
      <c r="E30" s="8" t="n">
        <v>48.5</v>
      </c>
      <c r="F30" s="12">
        <f>IF(B30="","",TEXT(B30,"mmm"))</f>
        <v/>
      </c>
    </row>
    <row r="31">
      <c r="B31" s="11" t="n">
        <v>46406</v>
      </c>
      <c r="C31" s="7" t="inlineStr">
        <is>
          <t>Groceries</t>
        </is>
      </c>
      <c r="D31" s="7" t="inlineStr">
        <is>
          <t>Fresh Market</t>
        </is>
      </c>
      <c r="E31" s="8" t="n">
        <v>141.37</v>
      </c>
      <c r="F31" s="12">
        <f>IF(B31="","",TEXT(B31,"mmm"))</f>
        <v/>
      </c>
    </row>
    <row r="32">
      <c r="B32" s="11" t="n">
        <v>46407</v>
      </c>
      <c r="C32" s="7" t="inlineStr">
        <is>
          <t>Entertainment</t>
        </is>
      </c>
      <c r="D32" s="7" t="inlineStr">
        <is>
          <t>Movie tickets</t>
        </is>
      </c>
      <c r="E32" s="8" t="n">
        <v>41.49</v>
      </c>
      <c r="F32" s="12">
        <f>IF(B32="","",TEXT(B32,"mmm"))</f>
        <v/>
      </c>
    </row>
    <row r="33">
      <c r="B33" s="11" t="n">
        <v>46408</v>
      </c>
      <c r="C33" s="7" t="inlineStr">
        <is>
          <t>Dining Out</t>
        </is>
      </c>
      <c r="D33" s="7" t="inlineStr">
        <is>
          <t>Taco place</t>
        </is>
      </c>
      <c r="E33" s="8" t="n">
        <v>38.64</v>
      </c>
      <c r="F33" s="12">
        <f>IF(B33="","",TEXT(B33,"mmm"))</f>
        <v/>
      </c>
    </row>
    <row r="34">
      <c r="B34" s="11" t="n">
        <v>46408</v>
      </c>
      <c r="C34" s="7" t="inlineStr">
        <is>
          <t>Shopping</t>
        </is>
      </c>
      <c r="D34" s="7" t="inlineStr">
        <is>
          <t>Clothing store</t>
        </is>
      </c>
      <c r="E34" s="8" t="n">
        <v>53.83</v>
      </c>
      <c r="F34" s="12">
        <f>IF(B34="","",TEXT(B34,"mmm"))</f>
        <v/>
      </c>
    </row>
    <row r="35">
      <c r="B35" s="11" t="n">
        <v>46415</v>
      </c>
      <c r="C35" s="7" t="inlineStr">
        <is>
          <t>Transportation</t>
        </is>
      </c>
      <c r="D35" s="7" t="inlineStr">
        <is>
          <t>Gas station</t>
        </is>
      </c>
      <c r="E35" s="8" t="n">
        <v>49.16</v>
      </c>
      <c r="F35" s="12">
        <f>IF(B35="","",TEXT(B35,"mmm"))</f>
        <v/>
      </c>
    </row>
    <row r="36">
      <c r="B36" s="11" t="n">
        <v>46419</v>
      </c>
      <c r="C36" s="7" t="inlineStr">
        <is>
          <t>Rent / Mortgage</t>
        </is>
      </c>
      <c r="D36" s="7" t="inlineStr">
        <is>
          <t>Rent / Mortgage</t>
        </is>
      </c>
      <c r="E36" s="8" t="n">
        <v>1650</v>
      </c>
      <c r="F36" s="12">
        <f>IF(B36="","",TEXT(B36,"mmm"))</f>
        <v/>
      </c>
    </row>
    <row r="37">
      <c r="B37" s="11" t="n">
        <v>46421</v>
      </c>
      <c r="C37" s="7" t="inlineStr">
        <is>
          <t>Transportation</t>
        </is>
      </c>
      <c r="D37" s="7" t="inlineStr">
        <is>
          <t>Bus pass</t>
        </is>
      </c>
      <c r="E37" s="8" t="n">
        <v>57.42</v>
      </c>
      <c r="F37" s="12">
        <f>IF(B37="","",TEXT(B37,"mmm"))</f>
        <v/>
      </c>
    </row>
    <row r="38">
      <c r="B38" s="11" t="n">
        <v>46421</v>
      </c>
      <c r="C38" s="7" t="inlineStr">
        <is>
          <t>Utilities</t>
        </is>
      </c>
      <c r="D38" s="7" t="inlineStr">
        <is>
          <t>Electric &amp; water</t>
        </is>
      </c>
      <c r="E38" s="8" t="n">
        <v>193.38</v>
      </c>
      <c r="F38" s="12">
        <f>IF(B38="","",TEXT(B38,"mmm"))</f>
        <v/>
      </c>
    </row>
    <row r="39">
      <c r="B39" s="11" t="n">
        <v>46422</v>
      </c>
      <c r="C39" s="7" t="inlineStr">
        <is>
          <t>Entertainment</t>
        </is>
      </c>
      <c r="D39" s="7" t="inlineStr">
        <is>
          <t>Concert</t>
        </is>
      </c>
      <c r="E39" s="8" t="n">
        <v>28.91</v>
      </c>
      <c r="F39" s="12">
        <f>IF(B39="","",TEXT(B39,"mmm"))</f>
        <v/>
      </c>
    </row>
    <row r="40">
      <c r="B40" s="11" t="n">
        <v>46423</v>
      </c>
      <c r="C40" s="7" t="inlineStr">
        <is>
          <t>Groceries</t>
        </is>
      </c>
      <c r="D40" s="7" t="inlineStr">
        <is>
          <t>Green Grocer</t>
        </is>
      </c>
      <c r="E40" s="8" t="n">
        <v>123.09</v>
      </c>
      <c r="F40" s="12">
        <f>IF(B40="","",TEXT(B40,"mmm"))</f>
        <v/>
      </c>
    </row>
    <row r="41">
      <c r="B41" s="11" t="n">
        <v>46423</v>
      </c>
      <c r="C41" s="7" t="inlineStr">
        <is>
          <t>Phone &amp; Internet</t>
        </is>
      </c>
      <c r="D41" s="7" t="inlineStr">
        <is>
          <t>Phone &amp; Internet</t>
        </is>
      </c>
      <c r="E41" s="8" t="n">
        <v>120</v>
      </c>
      <c r="F41" s="12">
        <f>IF(B41="","",TEXT(B41,"mmm"))</f>
        <v/>
      </c>
    </row>
    <row r="42">
      <c r="B42" s="11" t="n">
        <v>46425</v>
      </c>
      <c r="C42" s="7" t="inlineStr">
        <is>
          <t>Insurance</t>
        </is>
      </c>
      <c r="D42" s="7" t="inlineStr">
        <is>
          <t>Insurance</t>
        </is>
      </c>
      <c r="E42" s="8" t="n">
        <v>185</v>
      </c>
      <c r="F42" s="12">
        <f>IF(B42="","",TEXT(B42,"mmm"))</f>
        <v/>
      </c>
    </row>
    <row r="43">
      <c r="B43" s="11" t="n">
        <v>46426</v>
      </c>
      <c r="C43" s="7" t="inlineStr">
        <is>
          <t>Health</t>
        </is>
      </c>
      <c r="D43" s="7" t="inlineStr">
        <is>
          <t>Pharmacy</t>
        </is>
      </c>
      <c r="E43" s="8" t="n">
        <v>41.78</v>
      </c>
      <c r="F43" s="12">
        <f>IF(B43="","",TEXT(B43,"mmm"))</f>
        <v/>
      </c>
    </row>
    <row r="44">
      <c r="B44" s="11" t="n">
        <v>46427</v>
      </c>
      <c r="C44" s="7" t="inlineStr">
        <is>
          <t>Subscriptions</t>
        </is>
      </c>
      <c r="D44" s="7" t="inlineStr">
        <is>
          <t>Subscriptions</t>
        </is>
      </c>
      <c r="E44" s="8" t="n">
        <v>45.97</v>
      </c>
      <c r="F44" s="12">
        <f>IF(B44="","",TEXT(B44,"mmm"))</f>
        <v/>
      </c>
    </row>
    <row r="45">
      <c r="B45" s="11" t="n">
        <v>46429</v>
      </c>
      <c r="C45" s="7" t="inlineStr">
        <is>
          <t>Emergency Fund</t>
        </is>
      </c>
      <c r="D45" s="7" t="inlineStr">
        <is>
          <t>Emergency Fund</t>
        </is>
      </c>
      <c r="E45" s="8" t="n">
        <v>400</v>
      </c>
      <c r="F45" s="12">
        <f>IF(B45="","",TEXT(B45,"mmm"))</f>
        <v/>
      </c>
    </row>
    <row r="46">
      <c r="B46" s="11" t="n">
        <v>46429</v>
      </c>
      <c r="C46" s="7" t="inlineStr">
        <is>
          <t>Groceries</t>
        </is>
      </c>
      <c r="D46" s="7" t="inlineStr">
        <is>
          <t>Corner Store</t>
        </is>
      </c>
      <c r="E46" s="8" t="n">
        <v>124.41</v>
      </c>
      <c r="F46" s="12">
        <f>IF(B46="","",TEXT(B46,"mmm"))</f>
        <v/>
      </c>
    </row>
    <row r="47">
      <c r="B47" s="11" t="n">
        <v>46430</v>
      </c>
      <c r="C47" s="7" t="inlineStr">
        <is>
          <t>Dining Out</t>
        </is>
      </c>
      <c r="D47" s="7" t="inlineStr">
        <is>
          <t>Taco place</t>
        </is>
      </c>
      <c r="E47" s="8" t="n">
        <v>37.71</v>
      </c>
      <c r="F47" s="12">
        <f>IF(B47="","",TEXT(B47,"mmm"))</f>
        <v/>
      </c>
    </row>
    <row r="48">
      <c r="B48" s="11" t="n">
        <v>46431</v>
      </c>
      <c r="C48" s="7" t="inlineStr">
        <is>
          <t>Shopping</t>
        </is>
      </c>
      <c r="D48" s="7" t="inlineStr">
        <is>
          <t>Home goods</t>
        </is>
      </c>
      <c r="E48" s="8" t="n">
        <v>38.9</v>
      </c>
      <c r="F48" s="12">
        <f>IF(B48="","",TEXT(B48,"mmm"))</f>
        <v/>
      </c>
    </row>
    <row r="49">
      <c r="B49" s="11" t="n">
        <v>46431</v>
      </c>
      <c r="C49" s="7" t="inlineStr">
        <is>
          <t>Vacation Fund</t>
        </is>
      </c>
      <c r="D49" s="7" t="inlineStr">
        <is>
          <t>Vacation Fund</t>
        </is>
      </c>
      <c r="E49" s="8" t="n">
        <v>200</v>
      </c>
      <c r="F49" s="12">
        <f>IF(B49="","",TEXT(B49,"mmm"))</f>
        <v/>
      </c>
    </row>
    <row r="50">
      <c r="B50" s="11" t="n">
        <v>46432</v>
      </c>
      <c r="C50" s="7" t="inlineStr">
        <is>
          <t>Groceries</t>
        </is>
      </c>
      <c r="D50" s="7" t="inlineStr">
        <is>
          <t>Fresh Market</t>
        </is>
      </c>
      <c r="E50" s="8" t="n">
        <v>139.4</v>
      </c>
      <c r="F50" s="12">
        <f>IF(B50="","",TEXT(B50,"mmm"))</f>
        <v/>
      </c>
    </row>
    <row r="51">
      <c r="B51" s="11" t="n">
        <v>46433</v>
      </c>
      <c r="C51" s="7" t="inlineStr">
        <is>
          <t>Gifts</t>
        </is>
      </c>
      <c r="D51" s="7" t="inlineStr">
        <is>
          <t>Birthday gift</t>
        </is>
      </c>
      <c r="E51" s="8" t="n">
        <v>47.23</v>
      </c>
      <c r="F51" s="12">
        <f>IF(B51="","",TEXT(B51,"mmm"))</f>
        <v/>
      </c>
    </row>
    <row r="52">
      <c r="B52" s="11" t="n">
        <v>46433</v>
      </c>
      <c r="C52" s="7" t="inlineStr">
        <is>
          <t>Retirement</t>
        </is>
      </c>
      <c r="D52" s="7" t="inlineStr">
        <is>
          <t>Retirement</t>
        </is>
      </c>
      <c r="E52" s="8" t="n">
        <v>350</v>
      </c>
      <c r="F52" s="12">
        <f>IF(B52="","",TEXT(B52,"mmm"))</f>
        <v/>
      </c>
    </row>
    <row r="53">
      <c r="B53" s="11" t="n">
        <v>46433</v>
      </c>
      <c r="C53" s="7" t="inlineStr">
        <is>
          <t>Shopping</t>
        </is>
      </c>
      <c r="D53" s="7" t="inlineStr">
        <is>
          <t>Home goods</t>
        </is>
      </c>
      <c r="E53" s="8" t="n">
        <v>45.97</v>
      </c>
      <c r="F53" s="12">
        <f>IF(B53="","",TEXT(B53,"mmm"))</f>
        <v/>
      </c>
    </row>
    <row r="54">
      <c r="B54" s="11" t="n">
        <v>46435</v>
      </c>
      <c r="C54" s="7" t="inlineStr">
        <is>
          <t>Credit Card</t>
        </is>
      </c>
      <c r="D54" s="7" t="inlineStr">
        <is>
          <t>Credit Card</t>
        </is>
      </c>
      <c r="E54" s="8" t="n">
        <v>300</v>
      </c>
      <c r="F54" s="12">
        <f>IF(B54="","",TEXT(B54,"mmm"))</f>
        <v/>
      </c>
    </row>
    <row r="55">
      <c r="B55" s="11" t="n">
        <v>46437</v>
      </c>
      <c r="C55" s="7" t="inlineStr">
        <is>
          <t>Car Loan</t>
        </is>
      </c>
      <c r="D55" s="7" t="inlineStr">
        <is>
          <t>Car Loan</t>
        </is>
      </c>
      <c r="E55" s="8" t="n">
        <v>285</v>
      </c>
      <c r="F55" s="12">
        <f>IF(B55="","",TEXT(B55,"mmm"))</f>
        <v/>
      </c>
    </row>
    <row r="56">
      <c r="B56" s="11" t="n">
        <v>46437</v>
      </c>
      <c r="C56" s="7" t="inlineStr">
        <is>
          <t>Dining Out</t>
        </is>
      </c>
      <c r="D56" s="7" t="inlineStr">
        <is>
          <t>Coffee shop</t>
        </is>
      </c>
      <c r="E56" s="8" t="n">
        <v>33.31</v>
      </c>
      <c r="F56" s="12">
        <f>IF(B56="","",TEXT(B56,"mmm"))</f>
        <v/>
      </c>
    </row>
    <row r="57">
      <c r="B57" s="11" t="n">
        <v>46437</v>
      </c>
      <c r="C57" s="7" t="inlineStr">
        <is>
          <t>Groceries</t>
        </is>
      </c>
      <c r="D57" s="7" t="inlineStr">
        <is>
          <t>Green Grocer</t>
        </is>
      </c>
      <c r="E57" s="8" t="n">
        <v>128.12</v>
      </c>
      <c r="F57" s="12">
        <f>IF(B57="","",TEXT(B57,"mmm"))</f>
        <v/>
      </c>
    </row>
    <row r="58">
      <c r="B58" s="11" t="n">
        <v>46438</v>
      </c>
      <c r="C58" s="7" t="inlineStr">
        <is>
          <t>Groceries</t>
        </is>
      </c>
      <c r="D58" s="7" t="inlineStr">
        <is>
          <t>Fresh Market</t>
        </is>
      </c>
      <c r="E58" s="8" t="n">
        <v>108.34</v>
      </c>
      <c r="F58" s="12">
        <f>IF(B58="","",TEXT(B58,"mmm"))</f>
        <v/>
      </c>
    </row>
    <row r="59">
      <c r="B59" s="11" t="n">
        <v>46440</v>
      </c>
      <c r="C59" s="7" t="inlineStr">
        <is>
          <t>Dining Out</t>
        </is>
      </c>
      <c r="D59" s="7" t="inlineStr">
        <is>
          <t>Pizza night</t>
        </is>
      </c>
      <c r="E59" s="8" t="n">
        <v>45.23</v>
      </c>
      <c r="F59" s="12">
        <f>IF(B59="","",TEXT(B59,"mmm"))</f>
        <v/>
      </c>
    </row>
    <row r="60">
      <c r="B60" s="11" t="n">
        <v>46440</v>
      </c>
      <c r="C60" s="7" t="inlineStr">
        <is>
          <t>Transportation</t>
        </is>
      </c>
      <c r="D60" s="7" t="inlineStr">
        <is>
          <t>Bus pass</t>
        </is>
      </c>
      <c r="E60" s="8" t="n">
        <v>50.88</v>
      </c>
      <c r="F60" s="12">
        <f>IF(B60="","",TEXT(B60,"mmm"))</f>
        <v/>
      </c>
    </row>
    <row r="61">
      <c r="B61" s="11" t="n">
        <v>46440</v>
      </c>
      <c r="C61" s="7" t="inlineStr">
        <is>
          <t>Transportation</t>
        </is>
      </c>
      <c r="D61" s="7" t="inlineStr">
        <is>
          <t>Gas station</t>
        </is>
      </c>
      <c r="E61" s="8" t="n">
        <v>43.14</v>
      </c>
      <c r="F61" s="12">
        <f>IF(B61="","",TEXT(B61,"mmm"))</f>
        <v/>
      </c>
    </row>
    <row r="62">
      <c r="B62" s="11" t="n">
        <v>46441</v>
      </c>
      <c r="C62" s="7" t="inlineStr">
        <is>
          <t>Transportation</t>
        </is>
      </c>
      <c r="D62" s="7" t="inlineStr">
        <is>
          <t>Bus pass</t>
        </is>
      </c>
      <c r="E62" s="8" t="n">
        <v>63.4</v>
      </c>
      <c r="F62" s="12">
        <f>IF(B62="","",TEXT(B62,"mmm"))</f>
        <v/>
      </c>
    </row>
    <row r="63">
      <c r="B63" s="11" t="n">
        <v>46443</v>
      </c>
      <c r="C63" s="7" t="inlineStr">
        <is>
          <t>Entertainment</t>
        </is>
      </c>
      <c r="D63" s="7" t="inlineStr">
        <is>
          <t>Concert</t>
        </is>
      </c>
      <c r="E63" s="8" t="n">
        <v>31.19</v>
      </c>
      <c r="F63" s="12">
        <f>IF(B63="","",TEXT(B63,"mmm"))</f>
        <v/>
      </c>
    </row>
    <row r="64">
      <c r="B64" s="11" t="n">
        <v>46444</v>
      </c>
      <c r="C64" s="7" t="inlineStr">
        <is>
          <t>Dining Out</t>
        </is>
      </c>
      <c r="D64" s="7" t="inlineStr">
        <is>
          <t>Coffee shop</t>
        </is>
      </c>
      <c r="E64" s="8" t="n">
        <v>25.69</v>
      </c>
      <c r="F64" s="12">
        <f>IF(B64="","",TEXT(B64,"mmm"))</f>
        <v/>
      </c>
    </row>
    <row r="65">
      <c r="B65" s="11" t="n">
        <v>46446</v>
      </c>
      <c r="C65" s="7" t="inlineStr">
        <is>
          <t>Personal Care</t>
        </is>
      </c>
      <c r="D65" s="7" t="inlineStr">
        <is>
          <t>Haircut</t>
        </is>
      </c>
      <c r="E65" s="8" t="n">
        <v>38.67</v>
      </c>
      <c r="F65" s="12">
        <f>IF(B65="","",TEXT(B65,"mmm"))</f>
        <v/>
      </c>
    </row>
    <row r="66">
      <c r="B66" s="11" t="n">
        <v>46447</v>
      </c>
      <c r="C66" s="7" t="inlineStr">
        <is>
          <t>Dining Out</t>
        </is>
      </c>
      <c r="D66" s="7" t="inlineStr">
        <is>
          <t>Coffee shop</t>
        </is>
      </c>
      <c r="E66" s="8" t="n">
        <v>43.61</v>
      </c>
      <c r="F66" s="12">
        <f>IF(B66="","",TEXT(B66,"mmm"))</f>
        <v/>
      </c>
    </row>
    <row r="67">
      <c r="B67" s="11" t="n">
        <v>46447</v>
      </c>
      <c r="C67" s="7" t="inlineStr">
        <is>
          <t>Rent / Mortgage</t>
        </is>
      </c>
      <c r="D67" s="7" t="inlineStr">
        <is>
          <t>Rent / Mortgage</t>
        </is>
      </c>
      <c r="E67" s="8" t="n">
        <v>1650</v>
      </c>
      <c r="F67" s="12">
        <f>IF(B67="","",TEXT(B67,"mmm"))</f>
        <v/>
      </c>
    </row>
    <row r="68">
      <c r="B68" s="11" t="n">
        <v>46448</v>
      </c>
      <c r="C68" s="7" t="inlineStr">
        <is>
          <t>Entertainment</t>
        </is>
      </c>
      <c r="D68" s="7" t="inlineStr">
        <is>
          <t>Movie tickets</t>
        </is>
      </c>
      <c r="E68" s="8" t="n">
        <v>27.02</v>
      </c>
      <c r="F68" s="12">
        <f>IF(B68="","",TEXT(B68,"mmm"))</f>
        <v/>
      </c>
    </row>
    <row r="69">
      <c r="B69" s="11" t="n">
        <v>46448</v>
      </c>
      <c r="C69" s="7" t="inlineStr">
        <is>
          <t>Transportation</t>
        </is>
      </c>
      <c r="D69" s="7" t="inlineStr">
        <is>
          <t>Bus pass</t>
        </is>
      </c>
      <c r="E69" s="8" t="n">
        <v>66.79000000000001</v>
      </c>
      <c r="F69" s="12">
        <f>IF(B69="","",TEXT(B69,"mmm"))</f>
        <v/>
      </c>
    </row>
    <row r="70">
      <c r="B70" s="11" t="n">
        <v>46449</v>
      </c>
      <c r="C70" s="7" t="inlineStr">
        <is>
          <t>Utilities</t>
        </is>
      </c>
      <c r="D70" s="7" t="inlineStr">
        <is>
          <t>Electric &amp; water</t>
        </is>
      </c>
      <c r="E70" s="8" t="n">
        <v>200.92</v>
      </c>
      <c r="F70" s="12">
        <f>IF(B70="","",TEXT(B70,"mmm"))</f>
        <v/>
      </c>
    </row>
    <row r="71">
      <c r="B71" s="11" t="n">
        <v>46450</v>
      </c>
      <c r="C71" s="7" t="inlineStr">
        <is>
          <t>Shopping</t>
        </is>
      </c>
      <c r="D71" s="7" t="inlineStr">
        <is>
          <t>Home goods</t>
        </is>
      </c>
      <c r="E71" s="8" t="n">
        <v>63.54</v>
      </c>
      <c r="F71" s="12">
        <f>IF(B71="","",TEXT(B71,"mmm"))</f>
        <v/>
      </c>
    </row>
    <row r="72">
      <c r="B72" s="11" t="n">
        <v>46451</v>
      </c>
      <c r="C72" s="7" t="inlineStr">
        <is>
          <t>Dining Out</t>
        </is>
      </c>
      <c r="D72" s="7" t="inlineStr">
        <is>
          <t>Coffee shop</t>
        </is>
      </c>
      <c r="E72" s="8" t="n">
        <v>35.9</v>
      </c>
      <c r="F72" s="12">
        <f>IF(B72="","",TEXT(B72,"mmm"))</f>
        <v/>
      </c>
    </row>
    <row r="73">
      <c r="B73" s="11" t="n">
        <v>46451</v>
      </c>
      <c r="C73" s="7" t="inlineStr">
        <is>
          <t>Groceries</t>
        </is>
      </c>
      <c r="D73" s="7" t="inlineStr">
        <is>
          <t>Fresh Market</t>
        </is>
      </c>
      <c r="E73" s="8" t="n">
        <v>124.63</v>
      </c>
      <c r="F73" s="12">
        <f>IF(B73="","",TEXT(B73,"mmm"))</f>
        <v/>
      </c>
    </row>
    <row r="74">
      <c r="B74" s="11" t="n">
        <v>46451</v>
      </c>
      <c r="C74" s="7" t="inlineStr">
        <is>
          <t>Phone &amp; Internet</t>
        </is>
      </c>
      <c r="D74" s="7" t="inlineStr">
        <is>
          <t>Phone &amp; Internet</t>
        </is>
      </c>
      <c r="E74" s="8" t="n">
        <v>120</v>
      </c>
      <c r="F74" s="12">
        <f>IF(B74="","",TEXT(B74,"mmm"))</f>
        <v/>
      </c>
    </row>
    <row r="75">
      <c r="B75" s="11" t="n">
        <v>46451</v>
      </c>
      <c r="C75" s="7" t="inlineStr">
        <is>
          <t>Transportation</t>
        </is>
      </c>
      <c r="D75" s="7" t="inlineStr">
        <is>
          <t>Parking</t>
        </is>
      </c>
      <c r="E75" s="8" t="n">
        <v>65.48999999999999</v>
      </c>
      <c r="F75" s="12">
        <f>IF(B75="","",TEXT(B75,"mmm"))</f>
        <v/>
      </c>
    </row>
    <row r="76">
      <c r="B76" s="11" t="n">
        <v>46452</v>
      </c>
      <c r="C76" s="7" t="inlineStr">
        <is>
          <t>Dining Out</t>
        </is>
      </c>
      <c r="D76" s="7" t="inlineStr">
        <is>
          <t>Coffee shop</t>
        </is>
      </c>
      <c r="E76" s="8" t="n">
        <v>29.33</v>
      </c>
      <c r="F76" s="12">
        <f>IF(B76="","",TEXT(B76,"mmm"))</f>
        <v/>
      </c>
    </row>
    <row r="77">
      <c r="B77" s="11" t="n">
        <v>46453</v>
      </c>
      <c r="C77" s="7" t="inlineStr">
        <is>
          <t>Entertainment</t>
        </is>
      </c>
      <c r="D77" s="7" t="inlineStr">
        <is>
          <t>Concert</t>
        </is>
      </c>
      <c r="E77" s="8" t="n">
        <v>29.87</v>
      </c>
      <c r="F77" s="12">
        <f>IF(B77="","",TEXT(B77,"mmm"))</f>
        <v/>
      </c>
    </row>
    <row r="78">
      <c r="B78" s="11" t="n">
        <v>46453</v>
      </c>
      <c r="C78" s="7" t="inlineStr">
        <is>
          <t>Insurance</t>
        </is>
      </c>
      <c r="D78" s="7" t="inlineStr">
        <is>
          <t>Insurance</t>
        </is>
      </c>
      <c r="E78" s="8" t="n">
        <v>185</v>
      </c>
      <c r="F78" s="12">
        <f>IF(B78="","",TEXT(B78,"mmm"))</f>
        <v/>
      </c>
    </row>
    <row r="79">
      <c r="B79" s="11" t="n">
        <v>46454</v>
      </c>
      <c r="C79" s="7" t="inlineStr">
        <is>
          <t>Groceries</t>
        </is>
      </c>
      <c r="D79" s="7" t="inlineStr">
        <is>
          <t>Fresh Market</t>
        </is>
      </c>
      <c r="E79" s="8" t="n">
        <v>98.73</v>
      </c>
      <c r="F79" s="12">
        <f>IF(B79="","",TEXT(B79,"mmm"))</f>
        <v/>
      </c>
    </row>
    <row r="80">
      <c r="B80" s="11" t="n">
        <v>46455</v>
      </c>
      <c r="C80" s="7" t="inlineStr">
        <is>
          <t>Groceries</t>
        </is>
      </c>
      <c r="D80" s="7" t="inlineStr">
        <is>
          <t>Corner Store</t>
        </is>
      </c>
      <c r="E80" s="8" t="n">
        <v>113.69</v>
      </c>
      <c r="F80" s="12">
        <f>IF(B80="","",TEXT(B80,"mmm"))</f>
        <v/>
      </c>
    </row>
    <row r="81">
      <c r="B81" s="11" t="n">
        <v>46455</v>
      </c>
      <c r="C81" s="7" t="inlineStr">
        <is>
          <t>Subscriptions</t>
        </is>
      </c>
      <c r="D81" s="7" t="inlineStr">
        <is>
          <t>Subscriptions</t>
        </is>
      </c>
      <c r="E81" s="8" t="n">
        <v>45.97</v>
      </c>
      <c r="F81" s="12">
        <f>IF(B81="","",TEXT(B81,"mmm"))</f>
        <v/>
      </c>
    </row>
    <row r="82">
      <c r="B82" s="11" t="n">
        <v>46457</v>
      </c>
      <c r="C82" s="7" t="inlineStr">
        <is>
          <t>Emergency Fund</t>
        </is>
      </c>
      <c r="D82" s="7" t="inlineStr">
        <is>
          <t>Emergency Fund</t>
        </is>
      </c>
      <c r="E82" s="8" t="n">
        <v>400</v>
      </c>
      <c r="F82" s="12">
        <f>IF(B82="","",TEXT(B82,"mmm"))</f>
        <v/>
      </c>
    </row>
    <row r="83">
      <c r="B83" s="11" t="n">
        <v>46457</v>
      </c>
      <c r="C83" s="7" t="inlineStr">
        <is>
          <t>Health</t>
        </is>
      </c>
      <c r="D83" s="7" t="inlineStr">
        <is>
          <t>Pharmacy</t>
        </is>
      </c>
      <c r="E83" s="8" t="n">
        <v>28.58</v>
      </c>
      <c r="F83" s="12">
        <f>IF(B83="","",TEXT(B83,"mmm"))</f>
        <v/>
      </c>
    </row>
    <row r="84">
      <c r="B84" s="11" t="n">
        <v>46458</v>
      </c>
      <c r="C84" s="7" t="inlineStr">
        <is>
          <t>Gifts</t>
        </is>
      </c>
      <c r="D84" s="7" t="inlineStr">
        <is>
          <t>Birthday gift</t>
        </is>
      </c>
      <c r="E84" s="8" t="n">
        <v>31.76</v>
      </c>
      <c r="F84" s="12">
        <f>IF(B84="","",TEXT(B84,"mmm"))</f>
        <v/>
      </c>
    </row>
    <row r="85">
      <c r="B85" s="11" t="n">
        <v>46458</v>
      </c>
      <c r="C85" s="7" t="inlineStr">
        <is>
          <t>Groceries</t>
        </is>
      </c>
      <c r="D85" s="7" t="inlineStr">
        <is>
          <t>Corner Store</t>
        </is>
      </c>
      <c r="E85" s="8" t="n">
        <v>134.79</v>
      </c>
      <c r="F85" s="12">
        <f>IF(B85="","",TEXT(B85,"mmm"))</f>
        <v/>
      </c>
    </row>
    <row r="86">
      <c r="B86" s="11" t="n">
        <v>46459</v>
      </c>
      <c r="C86" s="7" t="inlineStr">
        <is>
          <t>Shopping</t>
        </is>
      </c>
      <c r="D86" s="7" t="inlineStr">
        <is>
          <t>Home goods</t>
        </is>
      </c>
      <c r="E86" s="8" t="n">
        <v>52.95</v>
      </c>
      <c r="F86" s="12">
        <f>IF(B86="","",TEXT(B86,"mmm"))</f>
        <v/>
      </c>
    </row>
    <row r="87">
      <c r="B87" s="11" t="n">
        <v>46459</v>
      </c>
      <c r="C87" s="7" t="inlineStr">
        <is>
          <t>Vacation Fund</t>
        </is>
      </c>
      <c r="D87" s="7" t="inlineStr">
        <is>
          <t>Vacation Fund</t>
        </is>
      </c>
      <c r="E87" s="8" t="n">
        <v>200</v>
      </c>
      <c r="F87" s="12">
        <f>IF(B87="","",TEXT(B87,"mmm"))</f>
        <v/>
      </c>
    </row>
    <row r="88">
      <c r="B88" s="11" t="n">
        <v>46461</v>
      </c>
      <c r="C88" s="7" t="inlineStr">
        <is>
          <t>Retirement</t>
        </is>
      </c>
      <c r="D88" s="7" t="inlineStr">
        <is>
          <t>Retirement</t>
        </is>
      </c>
      <c r="E88" s="8" t="n">
        <v>350</v>
      </c>
      <c r="F88" s="12">
        <f>IF(B88="","",TEXT(B88,"mmm"))</f>
        <v/>
      </c>
    </row>
    <row r="89">
      <c r="B89" s="11" t="n">
        <v>46463</v>
      </c>
      <c r="C89" s="7" t="inlineStr">
        <is>
          <t>Credit Card</t>
        </is>
      </c>
      <c r="D89" s="7" t="inlineStr">
        <is>
          <t>Credit Card</t>
        </is>
      </c>
      <c r="E89" s="8" t="n">
        <v>300</v>
      </c>
      <c r="F89" s="12">
        <f>IF(B89="","",TEXT(B89,"mmm"))</f>
        <v/>
      </c>
    </row>
    <row r="90">
      <c r="B90" s="11" t="n">
        <v>46465</v>
      </c>
      <c r="C90" s="7" t="inlineStr">
        <is>
          <t>Car Loan</t>
        </is>
      </c>
      <c r="D90" s="7" t="inlineStr">
        <is>
          <t>Car Loan</t>
        </is>
      </c>
      <c r="E90" s="8" t="n">
        <v>285</v>
      </c>
      <c r="F90" s="12">
        <f>IF(B90="","",TEXT(B90,"mmm"))</f>
        <v/>
      </c>
    </row>
    <row r="91">
      <c r="B91" s="11" t="n">
        <v>46465</v>
      </c>
      <c r="C91" s="7" t="inlineStr">
        <is>
          <t>Personal Care</t>
        </is>
      </c>
      <c r="D91" s="7" t="inlineStr">
        <is>
          <t>Haircut</t>
        </is>
      </c>
      <c r="E91" s="8" t="n">
        <v>40.37</v>
      </c>
      <c r="F91" s="12">
        <f>IF(B91="","",TEXT(B91,"mmm"))</f>
        <v/>
      </c>
    </row>
    <row r="92">
      <c r="B92" s="11" t="n">
        <v>46466</v>
      </c>
      <c r="C92" s="7" t="inlineStr">
        <is>
          <t>Dining Out</t>
        </is>
      </c>
      <c r="D92" s="7" t="inlineStr">
        <is>
          <t>Taco place</t>
        </is>
      </c>
      <c r="E92" s="8" t="n">
        <v>30.28</v>
      </c>
      <c r="F92" s="12">
        <f>IF(B92="","",TEXT(B92,"mmm"))</f>
        <v/>
      </c>
    </row>
    <row r="93">
      <c r="B93" s="11" t="n">
        <v>46466</v>
      </c>
      <c r="C93" s="7" t="inlineStr">
        <is>
          <t>Transportation</t>
        </is>
      </c>
      <c r="D93" s="7" t="inlineStr">
        <is>
          <t>Parking</t>
        </is>
      </c>
      <c r="E93" s="8" t="n">
        <v>59.64</v>
      </c>
      <c r="F93" s="12">
        <f>IF(B93="","",TEXT(B93,"mmm"))</f>
        <v/>
      </c>
    </row>
    <row r="94">
      <c r="B94" s="11" t="n">
        <v>46471</v>
      </c>
      <c r="C94" s="7" t="inlineStr">
        <is>
          <t>Transportation</t>
        </is>
      </c>
      <c r="D94" s="7" t="inlineStr">
        <is>
          <t>Parking</t>
        </is>
      </c>
      <c r="E94" s="8" t="n">
        <v>63.53</v>
      </c>
      <c r="F94" s="12">
        <f>IF(B94="","",TEXT(B94,"mmm"))</f>
        <v/>
      </c>
    </row>
    <row r="95">
      <c r="B95" s="11" t="n">
        <v>46473</v>
      </c>
      <c r="C95" s="7" t="inlineStr">
        <is>
          <t>Groceries</t>
        </is>
      </c>
      <c r="D95" s="7" t="inlineStr">
        <is>
          <t>Green Grocer</t>
        </is>
      </c>
      <c r="E95" s="8" t="n">
        <v>133.88</v>
      </c>
      <c r="F95" s="12">
        <f>IF(B95="","",TEXT(B95,"mmm"))</f>
        <v/>
      </c>
    </row>
    <row r="96">
      <c r="B96" s="11" t="n">
        <v>46478</v>
      </c>
      <c r="C96" s="7" t="inlineStr">
        <is>
          <t>Dining Out</t>
        </is>
      </c>
      <c r="D96" s="7" t="inlineStr">
        <is>
          <t>Pizza night</t>
        </is>
      </c>
      <c r="E96" s="8" t="n">
        <v>48.59</v>
      </c>
      <c r="F96" s="12">
        <f>IF(B96="","",TEXT(B96,"mmm"))</f>
        <v/>
      </c>
    </row>
    <row r="97">
      <c r="B97" s="11" t="n">
        <v>46478</v>
      </c>
      <c r="C97" s="7" t="inlineStr">
        <is>
          <t>Rent / Mortgage</t>
        </is>
      </c>
      <c r="D97" s="7" t="inlineStr">
        <is>
          <t>Rent / Mortgage</t>
        </is>
      </c>
      <c r="E97" s="8" t="n">
        <v>1650</v>
      </c>
      <c r="F97" s="12">
        <f>IF(B97="","",TEXT(B97,"mmm"))</f>
        <v/>
      </c>
    </row>
    <row r="98">
      <c r="B98" s="11" t="n">
        <v>46480</v>
      </c>
      <c r="C98" s="7" t="inlineStr">
        <is>
          <t>Groceries</t>
        </is>
      </c>
      <c r="D98" s="7" t="inlineStr">
        <is>
          <t>Fresh Market</t>
        </is>
      </c>
      <c r="E98" s="8" t="n">
        <v>103.58</v>
      </c>
      <c r="F98" s="12">
        <f>IF(B98="","",TEXT(B98,"mmm"))</f>
        <v/>
      </c>
    </row>
    <row r="99">
      <c r="B99" s="11" t="n">
        <v>46480</v>
      </c>
      <c r="C99" s="7" t="inlineStr">
        <is>
          <t>Utilities</t>
        </is>
      </c>
      <c r="D99" s="7" t="inlineStr">
        <is>
          <t>Electric &amp; water</t>
        </is>
      </c>
      <c r="E99" s="8" t="n">
        <v>192.96</v>
      </c>
      <c r="F99" s="12">
        <f>IF(B99="","",TEXT(B99,"mmm"))</f>
        <v/>
      </c>
    </row>
    <row r="100">
      <c r="B100" s="11" t="n">
        <v>46481</v>
      </c>
      <c r="C100" s="7" t="inlineStr">
        <is>
          <t>Groceries</t>
        </is>
      </c>
      <c r="D100" s="7" t="inlineStr">
        <is>
          <t>Fresh Market</t>
        </is>
      </c>
      <c r="E100" s="8" t="n">
        <v>138.53</v>
      </c>
      <c r="F100" s="12">
        <f>IF(B100="","",TEXT(B100,"mmm"))</f>
        <v/>
      </c>
    </row>
    <row r="101">
      <c r="B101" s="11" t="n">
        <v>46482</v>
      </c>
      <c r="C101" s="7" t="inlineStr">
        <is>
          <t>Phone &amp; Internet</t>
        </is>
      </c>
      <c r="D101" s="7" t="inlineStr">
        <is>
          <t>Phone &amp; Internet</t>
        </is>
      </c>
      <c r="E101" s="8" t="n">
        <v>120</v>
      </c>
      <c r="F101" s="12">
        <f>IF(B101="","",TEXT(B101,"mmm"))</f>
        <v/>
      </c>
    </row>
    <row r="102">
      <c r="B102" s="11" t="n">
        <v>46483</v>
      </c>
      <c r="C102" s="7" t="inlineStr">
        <is>
          <t>Transportation</t>
        </is>
      </c>
      <c r="D102" s="7" t="inlineStr">
        <is>
          <t>Bus pass</t>
        </is>
      </c>
      <c r="E102" s="8" t="n">
        <v>65.20999999999999</v>
      </c>
      <c r="F102" s="12">
        <f>IF(B102="","",TEXT(B102,"mmm"))</f>
        <v/>
      </c>
    </row>
    <row r="103">
      <c r="B103" s="11" t="n">
        <v>46484</v>
      </c>
      <c r="C103" s="7" t="inlineStr">
        <is>
          <t>Gifts</t>
        </is>
      </c>
      <c r="D103" s="7" t="inlineStr">
        <is>
          <t>Birthday gift</t>
        </is>
      </c>
      <c r="E103" s="8" t="n">
        <v>42.83</v>
      </c>
      <c r="F103" s="12">
        <f>IF(B103="","",TEXT(B103,"mmm"))</f>
        <v/>
      </c>
    </row>
    <row r="104">
      <c r="B104" s="11" t="n">
        <v>46484</v>
      </c>
      <c r="C104" s="7" t="inlineStr">
        <is>
          <t>Insurance</t>
        </is>
      </c>
      <c r="D104" s="7" t="inlineStr">
        <is>
          <t>Insurance</t>
        </is>
      </c>
      <c r="E104" s="8" t="n">
        <v>185</v>
      </c>
      <c r="F104" s="12">
        <f>IF(B104="","",TEXT(B104,"mmm"))</f>
        <v/>
      </c>
    </row>
    <row r="105">
      <c r="B105" s="11" t="n">
        <v>46485</v>
      </c>
      <c r="C105" s="7" t="inlineStr">
        <is>
          <t>Entertainment</t>
        </is>
      </c>
      <c r="D105" s="7" t="inlineStr">
        <is>
          <t>Movie tickets</t>
        </is>
      </c>
      <c r="E105" s="8" t="n">
        <v>42.15</v>
      </c>
      <c r="F105" s="12">
        <f>IF(B105="","",TEXT(B105,"mmm"))</f>
        <v/>
      </c>
    </row>
    <row r="106">
      <c r="B106" s="11" t="n">
        <v>46486</v>
      </c>
      <c r="C106" s="7" t="inlineStr">
        <is>
          <t>Subscriptions</t>
        </is>
      </c>
      <c r="D106" s="7" t="inlineStr">
        <is>
          <t>Subscriptions</t>
        </is>
      </c>
      <c r="E106" s="8" t="n">
        <v>45.97</v>
      </c>
      <c r="F106" s="12">
        <f>IF(B106="","",TEXT(B106,"mmm"))</f>
        <v/>
      </c>
    </row>
    <row r="107">
      <c r="B107" s="11" t="n">
        <v>46487</v>
      </c>
      <c r="C107" s="7" t="inlineStr">
        <is>
          <t>Transportation</t>
        </is>
      </c>
      <c r="D107" s="7" t="inlineStr">
        <is>
          <t>Parking</t>
        </is>
      </c>
      <c r="E107" s="8" t="n">
        <v>68.25</v>
      </c>
      <c r="F107" s="12">
        <f>IF(B107="","",TEXT(B107,"mmm"))</f>
        <v/>
      </c>
    </row>
    <row r="108">
      <c r="B108" s="11" t="n">
        <v>46488</v>
      </c>
      <c r="C108" s="7" t="inlineStr">
        <is>
          <t>Dining Out</t>
        </is>
      </c>
      <c r="D108" s="7" t="inlineStr">
        <is>
          <t>Taco place</t>
        </is>
      </c>
      <c r="E108" s="8" t="n">
        <v>30.04</v>
      </c>
      <c r="F108" s="12">
        <f>IF(B108="","",TEXT(B108,"mmm"))</f>
        <v/>
      </c>
    </row>
    <row r="109">
      <c r="B109" s="11" t="n">
        <v>46488</v>
      </c>
      <c r="C109" s="7" t="inlineStr">
        <is>
          <t>Emergency Fund</t>
        </is>
      </c>
      <c r="D109" s="7" t="inlineStr">
        <is>
          <t>Emergency Fund</t>
        </is>
      </c>
      <c r="E109" s="8" t="n">
        <v>400</v>
      </c>
      <c r="F109" s="12">
        <f>IF(B109="","",TEXT(B109,"mmm"))</f>
        <v/>
      </c>
    </row>
    <row r="110">
      <c r="B110" s="11" t="n">
        <v>46489</v>
      </c>
      <c r="C110" s="7" t="inlineStr">
        <is>
          <t>Groceries</t>
        </is>
      </c>
      <c r="D110" s="7" t="inlineStr">
        <is>
          <t>Corner Store</t>
        </is>
      </c>
      <c r="E110" s="8" t="n">
        <v>115.84</v>
      </c>
      <c r="F110" s="12">
        <f>IF(B110="","",TEXT(B110,"mmm"))</f>
        <v/>
      </c>
    </row>
    <row r="111">
      <c r="B111" s="11" t="n">
        <v>46489</v>
      </c>
      <c r="C111" s="7" t="inlineStr">
        <is>
          <t>Health</t>
        </is>
      </c>
      <c r="D111" s="7" t="inlineStr">
        <is>
          <t>Pharmacy</t>
        </is>
      </c>
      <c r="E111" s="8" t="n">
        <v>62.02</v>
      </c>
      <c r="F111" s="12">
        <f>IF(B111="","",TEXT(B111,"mmm"))</f>
        <v/>
      </c>
    </row>
    <row r="112">
      <c r="B112" s="11" t="n">
        <v>46490</v>
      </c>
      <c r="C112" s="7" t="inlineStr">
        <is>
          <t>Groceries</t>
        </is>
      </c>
      <c r="D112" s="7" t="inlineStr">
        <is>
          <t>Fresh Market</t>
        </is>
      </c>
      <c r="E112" s="8" t="n">
        <v>128.49</v>
      </c>
      <c r="F112" s="12">
        <f>IF(B112="","",TEXT(B112,"mmm"))</f>
        <v/>
      </c>
    </row>
    <row r="113">
      <c r="B113" s="11" t="n">
        <v>46490</v>
      </c>
      <c r="C113" s="7" t="inlineStr">
        <is>
          <t>Vacation Fund</t>
        </is>
      </c>
      <c r="D113" s="7" t="inlineStr">
        <is>
          <t>Vacation Fund</t>
        </is>
      </c>
      <c r="E113" s="8" t="n">
        <v>200</v>
      </c>
      <c r="F113" s="12">
        <f>IF(B113="","",TEXT(B113,"mmm"))</f>
        <v/>
      </c>
    </row>
    <row r="114">
      <c r="B114" s="11" t="n">
        <v>46492</v>
      </c>
      <c r="C114" s="7" t="inlineStr">
        <is>
          <t>Groceries</t>
        </is>
      </c>
      <c r="D114" s="7" t="inlineStr">
        <is>
          <t>Green Grocer</t>
        </is>
      </c>
      <c r="E114" s="8" t="n">
        <v>121.44</v>
      </c>
      <c r="F114" s="12">
        <f>IF(B114="","",TEXT(B114,"mmm"))</f>
        <v/>
      </c>
    </row>
    <row r="115">
      <c r="B115" s="11" t="n">
        <v>46492</v>
      </c>
      <c r="C115" s="7" t="inlineStr">
        <is>
          <t>Retirement</t>
        </is>
      </c>
      <c r="D115" s="7" t="inlineStr">
        <is>
          <t>Retirement</t>
        </is>
      </c>
      <c r="E115" s="8" t="n">
        <v>350</v>
      </c>
      <c r="F115" s="12">
        <f>IF(B115="","",TEXT(B115,"mmm"))</f>
        <v/>
      </c>
    </row>
    <row r="116">
      <c r="B116" s="11" t="n">
        <v>46494</v>
      </c>
      <c r="C116" s="7" t="inlineStr">
        <is>
          <t>Credit Card</t>
        </is>
      </c>
      <c r="D116" s="7" t="inlineStr">
        <is>
          <t>Credit Card</t>
        </is>
      </c>
      <c r="E116" s="8" t="n">
        <v>300</v>
      </c>
      <c r="F116" s="12">
        <f>IF(B116="","",TEXT(B116,"mmm"))</f>
        <v/>
      </c>
    </row>
    <row r="117">
      <c r="B117" s="11" t="n">
        <v>46494</v>
      </c>
      <c r="C117" s="7" t="inlineStr">
        <is>
          <t>Dining Out</t>
        </is>
      </c>
      <c r="D117" s="7" t="inlineStr">
        <is>
          <t>Coffee shop</t>
        </is>
      </c>
      <c r="E117" s="8" t="n">
        <v>26.84</v>
      </c>
      <c r="F117" s="12">
        <f>IF(B117="","",TEXT(B117,"mmm"))</f>
        <v/>
      </c>
    </row>
    <row r="118">
      <c r="B118" s="11" t="n">
        <v>46495</v>
      </c>
      <c r="C118" s="7" t="inlineStr">
        <is>
          <t>Shopping</t>
        </is>
      </c>
      <c r="D118" s="7" t="inlineStr">
        <is>
          <t>Home goods</t>
        </is>
      </c>
      <c r="E118" s="8" t="n">
        <v>66.19</v>
      </c>
      <c r="F118" s="12">
        <f>IF(B118="","",TEXT(B118,"mmm"))</f>
        <v/>
      </c>
    </row>
    <row r="119">
      <c r="B119" s="11" t="n">
        <v>46495</v>
      </c>
      <c r="C119" s="7" t="inlineStr">
        <is>
          <t>Transportation</t>
        </is>
      </c>
      <c r="D119" s="7" t="inlineStr">
        <is>
          <t>Gas station</t>
        </is>
      </c>
      <c r="E119" s="8" t="n">
        <v>64.75</v>
      </c>
      <c r="F119" s="12">
        <f>IF(B119="","",TEXT(B119,"mmm"))</f>
        <v/>
      </c>
    </row>
    <row r="120">
      <c r="B120" s="11" t="n">
        <v>46496</v>
      </c>
      <c r="C120" s="7" t="inlineStr">
        <is>
          <t>Car Loan</t>
        </is>
      </c>
      <c r="D120" s="7" t="inlineStr">
        <is>
          <t>Car Loan</t>
        </is>
      </c>
      <c r="E120" s="8" t="n">
        <v>285</v>
      </c>
      <c r="F120" s="12">
        <f>IF(B120="","",TEXT(B120,"mmm"))</f>
        <v/>
      </c>
    </row>
    <row r="121">
      <c r="B121" s="11" t="n">
        <v>46497</v>
      </c>
      <c r="C121" s="7" t="inlineStr">
        <is>
          <t>Shopping</t>
        </is>
      </c>
      <c r="D121" s="7" t="inlineStr">
        <is>
          <t>Clothing store</t>
        </is>
      </c>
      <c r="E121" s="8" t="n">
        <v>74.12</v>
      </c>
      <c r="F121" s="12">
        <f>IF(B121="","",TEXT(B121,"mmm"))</f>
        <v/>
      </c>
    </row>
    <row r="122">
      <c r="B122" s="11" t="n">
        <v>46500</v>
      </c>
      <c r="C122" s="7" t="inlineStr">
        <is>
          <t>Transportation</t>
        </is>
      </c>
      <c r="D122" s="7" t="inlineStr">
        <is>
          <t>Bus pass</t>
        </is>
      </c>
      <c r="E122" s="8" t="n">
        <v>56.77</v>
      </c>
      <c r="F122" s="12">
        <f>IF(B122="","",TEXT(B122,"mmm"))</f>
        <v/>
      </c>
    </row>
    <row r="123">
      <c r="B123" s="11" t="n">
        <v>46503</v>
      </c>
      <c r="C123" s="7" t="inlineStr">
        <is>
          <t>Personal Care</t>
        </is>
      </c>
      <c r="D123" s="7" t="inlineStr">
        <is>
          <t>Haircut</t>
        </is>
      </c>
      <c r="E123" s="8" t="n">
        <v>41.31</v>
      </c>
      <c r="F123" s="12">
        <f>IF(B123="","",TEXT(B123,"mmm"))</f>
        <v/>
      </c>
    </row>
    <row r="124">
      <c r="B124" s="11" t="n">
        <v>46504</v>
      </c>
      <c r="C124" s="7" t="inlineStr">
        <is>
          <t>Dining Out</t>
        </is>
      </c>
      <c r="D124" s="7" t="inlineStr">
        <is>
          <t>Taco place</t>
        </is>
      </c>
      <c r="E124" s="8" t="n">
        <v>27.25</v>
      </c>
      <c r="F124" s="12">
        <f>IF(B124="","",TEXT(B124,"mmm"))</f>
        <v/>
      </c>
    </row>
    <row r="125">
      <c r="B125" s="11" t="n">
        <v>46504</v>
      </c>
      <c r="C125" s="7" t="inlineStr">
        <is>
          <t>Entertainment</t>
        </is>
      </c>
      <c r="D125" s="7" t="inlineStr">
        <is>
          <t>Concert</t>
        </is>
      </c>
      <c r="E125" s="8" t="n">
        <v>49.08</v>
      </c>
      <c r="F125" s="12">
        <f>IF(B125="","",TEXT(B125,"mmm"))</f>
        <v/>
      </c>
    </row>
    <row r="126">
      <c r="B126" s="11" t="n">
        <v>46508</v>
      </c>
      <c r="C126" s="7" t="inlineStr">
        <is>
          <t>Rent / Mortgage</t>
        </is>
      </c>
      <c r="D126" s="7" t="inlineStr">
        <is>
          <t>Rent / Mortgage</t>
        </is>
      </c>
      <c r="E126" s="8" t="n">
        <v>1650</v>
      </c>
      <c r="F126" s="12">
        <f>IF(B126="","",TEXT(B126,"mmm"))</f>
        <v/>
      </c>
    </row>
    <row r="127">
      <c r="B127" s="11" t="n">
        <v>46510</v>
      </c>
      <c r="C127" s="7" t="inlineStr">
        <is>
          <t>Dining Out</t>
        </is>
      </c>
      <c r="D127" s="7" t="inlineStr">
        <is>
          <t>Taco place</t>
        </is>
      </c>
      <c r="E127" s="8" t="n">
        <v>27.13</v>
      </c>
      <c r="F127" s="12">
        <f>IF(B127="","",TEXT(B127,"mmm"))</f>
        <v/>
      </c>
    </row>
    <row r="128">
      <c r="B128" s="11" t="n">
        <v>46510</v>
      </c>
      <c r="C128" s="7" t="inlineStr">
        <is>
          <t>Utilities</t>
        </is>
      </c>
      <c r="D128" s="7" t="inlineStr">
        <is>
          <t>Electric &amp; water</t>
        </is>
      </c>
      <c r="E128" s="8" t="n">
        <v>201.55</v>
      </c>
      <c r="F128" s="12">
        <f>IF(B128="","",TEXT(B128,"mmm"))</f>
        <v/>
      </c>
    </row>
    <row r="129">
      <c r="B129" s="11" t="n">
        <v>46511</v>
      </c>
      <c r="C129" s="7" t="inlineStr">
        <is>
          <t>Groceries</t>
        </is>
      </c>
      <c r="D129" s="7" t="inlineStr">
        <is>
          <t>Fresh Market</t>
        </is>
      </c>
      <c r="E129" s="8" t="n">
        <v>125.45</v>
      </c>
      <c r="F129" s="12">
        <f>IF(B129="","",TEXT(B129,"mmm"))</f>
        <v/>
      </c>
    </row>
    <row r="130">
      <c r="B130" s="11" t="n">
        <v>46512</v>
      </c>
      <c r="C130" s="7" t="inlineStr">
        <is>
          <t>Entertainment</t>
        </is>
      </c>
      <c r="D130" s="7" t="inlineStr">
        <is>
          <t>Movie tickets</t>
        </is>
      </c>
      <c r="E130" s="8" t="n">
        <v>27.46</v>
      </c>
      <c r="F130" s="12">
        <f>IF(B130="","",TEXT(B130,"mmm"))</f>
        <v/>
      </c>
    </row>
    <row r="131">
      <c r="B131" s="11" t="n">
        <v>46512</v>
      </c>
      <c r="C131" s="7" t="inlineStr">
        <is>
          <t>Health</t>
        </is>
      </c>
      <c r="D131" s="7" t="inlineStr">
        <is>
          <t>Pharmacy</t>
        </is>
      </c>
      <c r="E131" s="8" t="n">
        <v>64.29000000000001</v>
      </c>
      <c r="F131" s="12">
        <f>IF(B131="","",TEXT(B131,"mmm"))</f>
        <v/>
      </c>
    </row>
    <row r="132">
      <c r="B132" s="11" t="n">
        <v>46512</v>
      </c>
      <c r="C132" s="7" t="inlineStr">
        <is>
          <t>Phone &amp; Internet</t>
        </is>
      </c>
      <c r="D132" s="7" t="inlineStr">
        <is>
          <t>Phone &amp; Internet</t>
        </is>
      </c>
      <c r="E132" s="8" t="n">
        <v>120</v>
      </c>
      <c r="F132" s="12">
        <f>IF(B132="","",TEXT(B132,"mmm"))</f>
        <v/>
      </c>
    </row>
    <row r="133">
      <c r="B133" s="11" t="n">
        <v>46512</v>
      </c>
      <c r="C133" s="7" t="inlineStr">
        <is>
          <t>Shopping</t>
        </is>
      </c>
      <c r="D133" s="7" t="inlineStr">
        <is>
          <t>Home goods</t>
        </is>
      </c>
      <c r="E133" s="8" t="n">
        <v>69.73999999999999</v>
      </c>
      <c r="F133" s="12">
        <f>IF(B133="","",TEXT(B133,"mmm"))</f>
        <v/>
      </c>
    </row>
    <row r="134">
      <c r="B134" s="11" t="n">
        <v>46513</v>
      </c>
      <c r="C134" s="7" t="inlineStr">
        <is>
          <t>Transportation</t>
        </is>
      </c>
      <c r="D134" s="7" t="inlineStr">
        <is>
          <t>Gas station</t>
        </is>
      </c>
      <c r="E134" s="8" t="n">
        <v>41.99</v>
      </c>
      <c r="F134" s="12">
        <f>IF(B134="","",TEXT(B134,"mmm"))</f>
        <v/>
      </c>
    </row>
    <row r="135">
      <c r="B135" s="11" t="n">
        <v>46514</v>
      </c>
      <c r="C135" s="7" t="inlineStr">
        <is>
          <t>Gifts</t>
        </is>
      </c>
      <c r="D135" s="7" t="inlineStr">
        <is>
          <t>Birthday gift</t>
        </is>
      </c>
      <c r="E135" s="8" t="n">
        <v>45.93</v>
      </c>
      <c r="F135" s="12">
        <f>IF(B135="","",TEXT(B135,"mmm"))</f>
        <v/>
      </c>
    </row>
    <row r="136">
      <c r="B136" s="11" t="n">
        <v>46514</v>
      </c>
      <c r="C136" s="7" t="inlineStr">
        <is>
          <t>Insurance</t>
        </is>
      </c>
      <c r="D136" s="7" t="inlineStr">
        <is>
          <t>Insurance</t>
        </is>
      </c>
      <c r="E136" s="8" t="n">
        <v>185</v>
      </c>
      <c r="F136" s="12">
        <f>IF(B136="","",TEXT(B136,"mmm"))</f>
        <v/>
      </c>
    </row>
    <row r="137">
      <c r="B137" s="11" t="n">
        <v>46514</v>
      </c>
      <c r="C137" s="7" t="inlineStr">
        <is>
          <t>Personal Care</t>
        </is>
      </c>
      <c r="D137" s="7" t="inlineStr">
        <is>
          <t>Haircut</t>
        </is>
      </c>
      <c r="E137" s="8" t="n">
        <v>38.1</v>
      </c>
      <c r="F137" s="12">
        <f>IF(B137="","",TEXT(B137,"mmm"))</f>
        <v/>
      </c>
    </row>
    <row r="138">
      <c r="B138" s="11" t="n">
        <v>46516</v>
      </c>
      <c r="C138" s="7" t="inlineStr">
        <is>
          <t>Subscriptions</t>
        </is>
      </c>
      <c r="D138" s="7" t="inlineStr">
        <is>
          <t>Subscriptions</t>
        </is>
      </c>
      <c r="E138" s="8" t="n">
        <v>45.97</v>
      </c>
      <c r="F138" s="12">
        <f>IF(B138="","",TEXT(B138,"mmm"))</f>
        <v/>
      </c>
    </row>
    <row r="139">
      <c r="B139" s="11" t="n">
        <v>46518</v>
      </c>
      <c r="C139" s="7" t="inlineStr">
        <is>
          <t>Emergency Fund</t>
        </is>
      </c>
      <c r="D139" s="7" t="inlineStr">
        <is>
          <t>Emergency Fund</t>
        </is>
      </c>
      <c r="E139" s="8" t="n">
        <v>400</v>
      </c>
      <c r="F139" s="12">
        <f>IF(B139="","",TEXT(B139,"mmm"))</f>
        <v/>
      </c>
    </row>
    <row r="140">
      <c r="B140" s="11" t="n">
        <v>46518</v>
      </c>
      <c r="C140" s="7" t="inlineStr">
        <is>
          <t>Groceries</t>
        </is>
      </c>
      <c r="D140" s="7" t="inlineStr">
        <is>
          <t>Fresh Market</t>
        </is>
      </c>
      <c r="E140" s="8" t="n">
        <v>126.06</v>
      </c>
      <c r="F140" s="12">
        <f>IF(B140="","",TEXT(B140,"mmm"))</f>
        <v/>
      </c>
    </row>
    <row r="141">
      <c r="B141" s="11" t="n">
        <v>46519</v>
      </c>
      <c r="C141" s="7" t="inlineStr">
        <is>
          <t>Groceries</t>
        </is>
      </c>
      <c r="D141" s="7" t="inlineStr">
        <is>
          <t>Green Grocer</t>
        </is>
      </c>
      <c r="E141" s="8" t="n">
        <v>106.51</v>
      </c>
      <c r="F141" s="12">
        <f>IF(B141="","",TEXT(B141,"mmm"))</f>
        <v/>
      </c>
    </row>
    <row r="142">
      <c r="B142" s="11" t="n">
        <v>46519</v>
      </c>
      <c r="C142" s="7" t="inlineStr">
        <is>
          <t>Shopping</t>
        </is>
      </c>
      <c r="D142" s="7" t="inlineStr">
        <is>
          <t>Clothing store</t>
        </is>
      </c>
      <c r="E142" s="8" t="n">
        <v>64.45999999999999</v>
      </c>
      <c r="F142" s="12">
        <f>IF(B142="","",TEXT(B142,"mmm"))</f>
        <v/>
      </c>
    </row>
    <row r="143">
      <c r="B143" s="11" t="n">
        <v>46520</v>
      </c>
      <c r="C143" s="7" t="inlineStr">
        <is>
          <t>Dining Out</t>
        </is>
      </c>
      <c r="D143" s="7" t="inlineStr">
        <is>
          <t>Taco place</t>
        </is>
      </c>
      <c r="E143" s="8" t="n">
        <v>44.82</v>
      </c>
      <c r="F143" s="12">
        <f>IF(B143="","",TEXT(B143,"mmm"))</f>
        <v/>
      </c>
    </row>
    <row r="144">
      <c r="B144" s="11" t="n">
        <v>46520</v>
      </c>
      <c r="C144" s="7" t="inlineStr">
        <is>
          <t>Vacation Fund</t>
        </is>
      </c>
      <c r="D144" s="7" t="inlineStr">
        <is>
          <t>Vacation Fund</t>
        </is>
      </c>
      <c r="E144" s="8" t="n">
        <v>200</v>
      </c>
      <c r="F144" s="12">
        <f>IF(B144="","",TEXT(B144,"mmm"))</f>
        <v/>
      </c>
    </row>
    <row r="145">
      <c r="B145" s="11" t="n">
        <v>46522</v>
      </c>
      <c r="C145" s="7" t="inlineStr">
        <is>
          <t>Retirement</t>
        </is>
      </c>
      <c r="D145" s="7" t="inlineStr">
        <is>
          <t>Retirement</t>
        </is>
      </c>
      <c r="E145" s="8" t="n">
        <v>350</v>
      </c>
      <c r="F145" s="12">
        <f>IF(B145="","",TEXT(B145,"mmm"))</f>
        <v/>
      </c>
    </row>
    <row r="146">
      <c r="B146" s="11" t="n">
        <v>46523</v>
      </c>
      <c r="C146" s="7" t="inlineStr">
        <is>
          <t>Dining Out</t>
        </is>
      </c>
      <c r="D146" s="7" t="inlineStr">
        <is>
          <t>Pizza night</t>
        </is>
      </c>
      <c r="E146" s="8" t="n">
        <v>35.94</v>
      </c>
      <c r="F146" s="12">
        <f>IF(B146="","",TEXT(B146,"mmm"))</f>
        <v/>
      </c>
    </row>
    <row r="147">
      <c r="B147" s="11" t="n">
        <v>46524</v>
      </c>
      <c r="C147" s="7" t="inlineStr">
        <is>
          <t>Credit Card</t>
        </is>
      </c>
      <c r="D147" s="7" t="inlineStr">
        <is>
          <t>Credit Card</t>
        </is>
      </c>
      <c r="E147" s="8" t="n">
        <v>300</v>
      </c>
      <c r="F147" s="12">
        <f>IF(B147="","",TEXT(B147,"mmm"))</f>
        <v/>
      </c>
    </row>
    <row r="148">
      <c r="B148" s="11" t="n">
        <v>46526</v>
      </c>
      <c r="C148" s="7" t="inlineStr">
        <is>
          <t>Car Loan</t>
        </is>
      </c>
      <c r="D148" s="7" t="inlineStr">
        <is>
          <t>Car Loan</t>
        </is>
      </c>
      <c r="E148" s="8" t="n">
        <v>285</v>
      </c>
      <c r="F148" s="12">
        <f>IF(B148="","",TEXT(B148,"mmm"))</f>
        <v/>
      </c>
    </row>
    <row r="149">
      <c r="B149" s="11" t="n">
        <v>46526</v>
      </c>
      <c r="C149" s="7" t="inlineStr">
        <is>
          <t>Transportation</t>
        </is>
      </c>
      <c r="D149" s="7" t="inlineStr">
        <is>
          <t>Bus pass</t>
        </is>
      </c>
      <c r="E149" s="8" t="n">
        <v>68.91</v>
      </c>
      <c r="F149" s="12">
        <f>IF(B149="","",TEXT(B149,"mmm"))</f>
        <v/>
      </c>
    </row>
    <row r="150">
      <c r="B150" s="11" t="n">
        <v>46527</v>
      </c>
      <c r="C150" s="7" t="inlineStr">
        <is>
          <t>Groceries</t>
        </is>
      </c>
      <c r="D150" s="7" t="inlineStr">
        <is>
          <t>Fresh Market</t>
        </is>
      </c>
      <c r="E150" s="8" t="n">
        <v>125.9</v>
      </c>
      <c r="F150" s="12">
        <f>IF(B150="","",TEXT(B150,"mmm"))</f>
        <v/>
      </c>
    </row>
    <row r="151">
      <c r="B151" s="11" t="n">
        <v>46528</v>
      </c>
      <c r="C151" s="7" t="inlineStr">
        <is>
          <t>Dining Out</t>
        </is>
      </c>
      <c r="D151" s="7" t="inlineStr">
        <is>
          <t>Coffee shop</t>
        </is>
      </c>
      <c r="E151" s="8" t="n">
        <v>26.2</v>
      </c>
      <c r="F151" s="12">
        <f>IF(B151="","",TEXT(B151,"mmm"))</f>
        <v/>
      </c>
    </row>
    <row r="152">
      <c r="B152" s="11" t="n">
        <v>46528</v>
      </c>
      <c r="C152" s="7" t="inlineStr">
        <is>
          <t>Groceries</t>
        </is>
      </c>
      <c r="D152" s="7" t="inlineStr">
        <is>
          <t>Green Grocer</t>
        </is>
      </c>
      <c r="E152" s="8" t="n">
        <v>141.46</v>
      </c>
      <c r="F152" s="12">
        <f>IF(B152="","",TEXT(B152,"mmm"))</f>
        <v/>
      </c>
    </row>
    <row r="153">
      <c r="B153" s="11" t="n">
        <v>46531</v>
      </c>
      <c r="C153" s="7" t="inlineStr">
        <is>
          <t>Entertainment</t>
        </is>
      </c>
      <c r="D153" s="7" t="inlineStr">
        <is>
          <t>Movie tickets</t>
        </is>
      </c>
      <c r="E153" s="8" t="n">
        <v>44.06</v>
      </c>
      <c r="F153" s="12">
        <f>IF(B153="","",TEXT(B153,"mmm"))</f>
        <v/>
      </c>
    </row>
    <row r="154">
      <c r="B154" s="11" t="n">
        <v>46531</v>
      </c>
      <c r="C154" s="7" t="inlineStr">
        <is>
          <t>Transportation</t>
        </is>
      </c>
      <c r="D154" s="7" t="inlineStr">
        <is>
          <t>Bus pass</t>
        </is>
      </c>
      <c r="E154" s="8" t="n">
        <v>57.05</v>
      </c>
      <c r="F154" s="12">
        <f>IF(B154="","",TEXT(B154,"mmm"))</f>
        <v/>
      </c>
    </row>
    <row r="155">
      <c r="B155" s="11" t="n">
        <v>46531</v>
      </c>
      <c r="C155" s="7" t="inlineStr">
        <is>
          <t>Transportation</t>
        </is>
      </c>
      <c r="D155" s="7" t="inlineStr">
        <is>
          <t>Gas station</t>
        </is>
      </c>
      <c r="E155" s="8" t="n">
        <v>66.09</v>
      </c>
      <c r="F155" s="12">
        <f>IF(B155="","",TEXT(B155,"mmm"))</f>
        <v/>
      </c>
    </row>
    <row r="156">
      <c r="B156" s="11" t="n">
        <v>46539</v>
      </c>
      <c r="C156" s="7" t="inlineStr">
        <is>
          <t>Rent / Mortgage</t>
        </is>
      </c>
      <c r="D156" s="7" t="inlineStr">
        <is>
          <t>Rent / Mortgage</t>
        </is>
      </c>
      <c r="E156" s="8" t="n">
        <v>1650</v>
      </c>
      <c r="F156" s="12">
        <f>IF(B156="","",TEXT(B156,"mmm"))</f>
        <v/>
      </c>
    </row>
    <row r="157">
      <c r="B157" s="11" t="n">
        <v>46540</v>
      </c>
      <c r="C157" s="7" t="inlineStr">
        <is>
          <t>Shopping</t>
        </is>
      </c>
      <c r="D157" s="7" t="inlineStr">
        <is>
          <t>Clothing store</t>
        </is>
      </c>
      <c r="E157" s="8" t="n">
        <v>43.61</v>
      </c>
      <c r="F157" s="12">
        <f>IF(B157="","",TEXT(B157,"mmm"))</f>
        <v/>
      </c>
    </row>
    <row r="158">
      <c r="B158" s="11" t="n">
        <v>46540</v>
      </c>
      <c r="C158" s="7" t="inlineStr">
        <is>
          <t>Shopping</t>
        </is>
      </c>
      <c r="D158" s="7" t="inlineStr">
        <is>
          <t>Clothing store</t>
        </is>
      </c>
      <c r="E158" s="8" t="n">
        <v>57.85</v>
      </c>
      <c r="F158" s="12">
        <f>IF(B158="","",TEXT(B158,"mmm"))</f>
        <v/>
      </c>
    </row>
    <row r="159">
      <c r="B159" s="11" t="n">
        <v>46541</v>
      </c>
      <c r="C159" s="7" t="inlineStr">
        <is>
          <t>Entertainment</t>
        </is>
      </c>
      <c r="D159" s="7" t="inlineStr">
        <is>
          <t>Concert</t>
        </is>
      </c>
      <c r="E159" s="8" t="n">
        <v>34.77</v>
      </c>
      <c r="F159" s="12">
        <f>IF(B159="","",TEXT(B159,"mmm"))</f>
        <v/>
      </c>
    </row>
    <row r="160">
      <c r="B160" s="11" t="n">
        <v>46541</v>
      </c>
      <c r="C160" s="7" t="inlineStr">
        <is>
          <t>Utilities</t>
        </is>
      </c>
      <c r="D160" s="7" t="inlineStr">
        <is>
          <t>Electric &amp; water</t>
        </is>
      </c>
      <c r="E160" s="8" t="n">
        <v>199.51</v>
      </c>
      <c r="F160" s="12">
        <f>IF(B160="","",TEXT(B160,"mmm"))</f>
        <v/>
      </c>
    </row>
    <row r="161">
      <c r="B161" s="11" t="n">
        <v>46543</v>
      </c>
      <c r="C161" s="7" t="inlineStr">
        <is>
          <t>Phone &amp; Internet</t>
        </is>
      </c>
      <c r="D161" s="7" t="inlineStr">
        <is>
          <t>Phone &amp; Internet</t>
        </is>
      </c>
      <c r="E161" s="8" t="n">
        <v>120</v>
      </c>
      <c r="F161" s="12">
        <f>IF(B161="","",TEXT(B161,"mmm"))</f>
        <v/>
      </c>
    </row>
    <row r="162">
      <c r="B162" s="11" t="n">
        <v>46545</v>
      </c>
      <c r="C162" s="7" t="inlineStr">
        <is>
          <t>Insurance</t>
        </is>
      </c>
      <c r="D162" s="7" t="inlineStr">
        <is>
          <t>Insurance</t>
        </is>
      </c>
      <c r="E162" s="8" t="n">
        <v>185</v>
      </c>
      <c r="F162" s="12">
        <f>IF(B162="","",TEXT(B162,"mmm"))</f>
        <v/>
      </c>
    </row>
    <row r="163">
      <c r="B163" s="11" t="n">
        <v>46546</v>
      </c>
      <c r="C163" s="7" t="inlineStr">
        <is>
          <t>Gifts</t>
        </is>
      </c>
      <c r="D163" s="7" t="inlineStr">
        <is>
          <t>Birthday gift</t>
        </is>
      </c>
      <c r="E163" s="8" t="n">
        <v>53.07</v>
      </c>
      <c r="F163" s="12">
        <f>IF(B163="","",TEXT(B163,"mmm"))</f>
        <v/>
      </c>
    </row>
    <row r="164">
      <c r="B164" s="11" t="n">
        <v>46547</v>
      </c>
      <c r="C164" s="7" t="inlineStr">
        <is>
          <t>Subscriptions</t>
        </is>
      </c>
      <c r="D164" s="7" t="inlineStr">
        <is>
          <t>Subscriptions</t>
        </is>
      </c>
      <c r="E164" s="8" t="n">
        <v>45.97</v>
      </c>
      <c r="F164" s="12">
        <f>IF(B164="","",TEXT(B164,"mmm"))</f>
        <v/>
      </c>
    </row>
    <row r="165">
      <c r="B165" s="11" t="n">
        <v>46549</v>
      </c>
      <c r="C165" s="7" t="inlineStr">
        <is>
          <t>Emergency Fund</t>
        </is>
      </c>
      <c r="D165" s="7" t="inlineStr">
        <is>
          <t>Emergency Fund</t>
        </is>
      </c>
      <c r="E165" s="8" t="n">
        <v>400</v>
      </c>
      <c r="F165" s="12">
        <f>IF(B165="","",TEXT(B165,"mmm"))</f>
        <v/>
      </c>
    </row>
    <row r="166">
      <c r="B166" s="11" t="n">
        <v>46549</v>
      </c>
      <c r="C166" s="7" t="inlineStr">
        <is>
          <t>Groceries</t>
        </is>
      </c>
      <c r="D166" s="7" t="inlineStr">
        <is>
          <t>Green Grocer</t>
        </is>
      </c>
      <c r="E166" s="8" t="n">
        <v>119.5</v>
      </c>
      <c r="F166" s="12">
        <f>IF(B166="","",TEXT(B166,"mmm"))</f>
        <v/>
      </c>
    </row>
    <row r="167">
      <c r="B167" s="11" t="n">
        <v>46551</v>
      </c>
      <c r="C167" s="7" t="inlineStr">
        <is>
          <t>Vacation Fund</t>
        </is>
      </c>
      <c r="D167" s="7" t="inlineStr">
        <is>
          <t>Vacation Fund</t>
        </is>
      </c>
      <c r="E167" s="8" t="n">
        <v>200</v>
      </c>
      <c r="F167" s="12">
        <f>IF(B167="","",TEXT(B167,"mmm"))</f>
        <v/>
      </c>
    </row>
    <row r="168">
      <c r="B168" s="11" t="n">
        <v>46553</v>
      </c>
      <c r="C168" s="7" t="inlineStr">
        <is>
          <t>Dining Out</t>
        </is>
      </c>
      <c r="D168" s="7" t="inlineStr">
        <is>
          <t>Pizza night</t>
        </is>
      </c>
      <c r="E168" s="8" t="n">
        <v>37.82</v>
      </c>
      <c r="F168" s="12">
        <f>IF(B168="","",TEXT(B168,"mmm"))</f>
        <v/>
      </c>
    </row>
    <row r="169">
      <c r="B169" s="11" t="n">
        <v>46553</v>
      </c>
      <c r="C169" s="7" t="inlineStr">
        <is>
          <t>Personal Care</t>
        </is>
      </c>
      <c r="D169" s="7" t="inlineStr">
        <is>
          <t>Haircut</t>
        </is>
      </c>
      <c r="E169" s="8" t="n">
        <v>40.08</v>
      </c>
      <c r="F169" s="12">
        <f>IF(B169="","",TEXT(B169,"mmm"))</f>
        <v/>
      </c>
    </row>
    <row r="170">
      <c r="B170" s="11" t="n">
        <v>46553</v>
      </c>
      <c r="C170" s="7" t="inlineStr">
        <is>
          <t>Retirement</t>
        </is>
      </c>
      <c r="D170" s="7" t="inlineStr">
        <is>
          <t>Retirement</t>
        </is>
      </c>
      <c r="E170" s="8" t="n">
        <v>350</v>
      </c>
      <c r="F170" s="12">
        <f>IF(B170="","",TEXT(B170,"mmm"))</f>
        <v/>
      </c>
    </row>
    <row r="171">
      <c r="B171" s="11" t="n">
        <v>46554</v>
      </c>
      <c r="C171" s="7" t="inlineStr">
        <is>
          <t>Transportation</t>
        </is>
      </c>
      <c r="D171" s="7" t="inlineStr">
        <is>
          <t>Parking</t>
        </is>
      </c>
      <c r="E171" s="8" t="n">
        <v>61.21</v>
      </c>
      <c r="F171" s="12">
        <f>IF(B171="","",TEXT(B171,"mmm"))</f>
        <v/>
      </c>
    </row>
    <row r="172">
      <c r="B172" s="11" t="n">
        <v>46555</v>
      </c>
      <c r="C172" s="7" t="inlineStr">
        <is>
          <t>Credit Card</t>
        </is>
      </c>
      <c r="D172" s="7" t="inlineStr">
        <is>
          <t>Credit Card</t>
        </is>
      </c>
      <c r="E172" s="8" t="n">
        <v>300</v>
      </c>
      <c r="F172" s="12">
        <f>IF(B172="","",TEXT(B172,"mmm"))</f>
        <v/>
      </c>
    </row>
    <row r="173">
      <c r="B173" s="11" t="n">
        <v>46555</v>
      </c>
      <c r="C173" s="7" t="inlineStr">
        <is>
          <t>Dining Out</t>
        </is>
      </c>
      <c r="D173" s="7" t="inlineStr">
        <is>
          <t>Pizza night</t>
        </is>
      </c>
      <c r="E173" s="8" t="n">
        <v>35.83</v>
      </c>
      <c r="F173" s="12">
        <f>IF(B173="","",TEXT(B173,"mmm"))</f>
        <v/>
      </c>
    </row>
    <row r="174">
      <c r="B174" s="11" t="n">
        <v>46555</v>
      </c>
      <c r="C174" s="7" t="inlineStr">
        <is>
          <t>Dining Out</t>
        </is>
      </c>
      <c r="D174" s="7" t="inlineStr">
        <is>
          <t>Taco place</t>
        </is>
      </c>
      <c r="E174" s="8" t="n">
        <v>22.49</v>
      </c>
      <c r="F174" s="12">
        <f>IF(B174="","",TEXT(B174,"mmm"))</f>
        <v/>
      </c>
    </row>
    <row r="175">
      <c r="B175" s="11" t="n">
        <v>46555</v>
      </c>
      <c r="C175" s="7" t="inlineStr">
        <is>
          <t>Groceries</t>
        </is>
      </c>
      <c r="D175" s="7" t="inlineStr">
        <is>
          <t>Green Grocer</t>
        </is>
      </c>
      <c r="E175" s="8" t="n">
        <v>132.22</v>
      </c>
      <c r="F175" s="12">
        <f>IF(B175="","",TEXT(B175,"mmm"))</f>
        <v/>
      </c>
    </row>
    <row r="176">
      <c r="B176" s="11" t="n">
        <v>46555</v>
      </c>
      <c r="C176" s="7" t="inlineStr">
        <is>
          <t>Health</t>
        </is>
      </c>
      <c r="D176" s="7" t="inlineStr">
        <is>
          <t>Pharmacy</t>
        </is>
      </c>
      <c r="E176" s="8" t="n">
        <v>49.25</v>
      </c>
      <c r="F176" s="12">
        <f>IF(B176="","",TEXT(B176,"mmm"))</f>
        <v/>
      </c>
    </row>
    <row r="177">
      <c r="B177" s="11" t="n">
        <v>46555</v>
      </c>
      <c r="C177" s="7" t="inlineStr">
        <is>
          <t>Transportation</t>
        </is>
      </c>
      <c r="D177" s="7" t="inlineStr">
        <is>
          <t>Parking</t>
        </is>
      </c>
      <c r="E177" s="8" t="n">
        <v>55.77</v>
      </c>
      <c r="F177" s="12">
        <f>IF(B177="","",TEXT(B177,"mmm"))</f>
        <v/>
      </c>
    </row>
    <row r="178">
      <c r="B178" s="11" t="n">
        <v>46556</v>
      </c>
      <c r="C178" s="7" t="inlineStr">
        <is>
          <t>Entertainment</t>
        </is>
      </c>
      <c r="D178" s="7" t="inlineStr">
        <is>
          <t>Movie tickets</t>
        </is>
      </c>
      <c r="E178" s="8" t="n">
        <v>47.8</v>
      </c>
      <c r="F178" s="12">
        <f>IF(B178="","",TEXT(B178,"mmm"))</f>
        <v/>
      </c>
    </row>
    <row r="179">
      <c r="B179" s="11" t="n">
        <v>46556</v>
      </c>
      <c r="C179" s="7" t="inlineStr">
        <is>
          <t>Transportation</t>
        </is>
      </c>
      <c r="D179" s="7" t="inlineStr">
        <is>
          <t>Gas station</t>
        </is>
      </c>
      <c r="E179" s="8" t="n">
        <v>48.43</v>
      </c>
      <c r="F179" s="12">
        <f>IF(B179="","",TEXT(B179,"mmm"))</f>
        <v/>
      </c>
    </row>
    <row r="180">
      <c r="B180" s="11" t="n">
        <v>46557</v>
      </c>
      <c r="C180" s="7" t="inlineStr">
        <is>
          <t>Car Loan</t>
        </is>
      </c>
      <c r="D180" s="7" t="inlineStr">
        <is>
          <t>Car Loan</t>
        </is>
      </c>
      <c r="E180" s="8" t="n">
        <v>285</v>
      </c>
      <c r="F180" s="12">
        <f>IF(B180="","",TEXT(B180,"mmm"))</f>
        <v/>
      </c>
    </row>
    <row r="181">
      <c r="B181" s="11" t="n">
        <v>46560</v>
      </c>
      <c r="C181" s="7" t="inlineStr">
        <is>
          <t>Groceries</t>
        </is>
      </c>
      <c r="D181" s="7" t="inlineStr">
        <is>
          <t>Corner Store</t>
        </is>
      </c>
      <c r="E181" s="8" t="n">
        <v>131.68</v>
      </c>
      <c r="F181" s="12">
        <f>IF(B181="","",TEXT(B181,"mmm"))</f>
        <v/>
      </c>
    </row>
    <row r="182">
      <c r="B182" s="11" t="n">
        <v>46562</v>
      </c>
      <c r="C182" s="7" t="inlineStr">
        <is>
          <t>Groceries</t>
        </is>
      </c>
      <c r="D182" s="7" t="inlineStr">
        <is>
          <t>Green Grocer</t>
        </is>
      </c>
      <c r="E182" s="8" t="n">
        <v>135.4</v>
      </c>
      <c r="F182" s="12">
        <f>IF(B182="","",TEXT(B182,"mmm"))</f>
        <v/>
      </c>
    </row>
    <row r="183">
      <c r="B183" s="11" t="n">
        <v>46563</v>
      </c>
      <c r="C183" s="7" t="inlineStr">
        <is>
          <t>Dining Out</t>
        </is>
      </c>
      <c r="D183" s="7" t="inlineStr">
        <is>
          <t>Pizza night</t>
        </is>
      </c>
      <c r="E183" s="8" t="n">
        <v>26.48</v>
      </c>
      <c r="F183" s="12">
        <f>IF(B183="","",TEXT(B183,"mmm"))</f>
        <v/>
      </c>
    </row>
    <row r="184">
      <c r="B184" s="11" t="n">
        <v>46564</v>
      </c>
      <c r="C184" s="7" t="inlineStr">
        <is>
          <t>Transportation</t>
        </is>
      </c>
      <c r="D184" s="7" t="inlineStr">
        <is>
          <t>Gas station</t>
        </is>
      </c>
      <c r="E184" s="8" t="n">
        <v>66.26000000000001</v>
      </c>
      <c r="F184" s="12">
        <f>IF(B184="","",TEXT(B184,"mmm"))</f>
        <v/>
      </c>
    </row>
    <row r="185">
      <c r="B185" s="11" t="n">
        <v>46565</v>
      </c>
      <c r="C185" s="7" t="inlineStr">
        <is>
          <t>Groceries</t>
        </is>
      </c>
      <c r="D185" s="7" t="inlineStr">
        <is>
          <t>Fresh Market</t>
        </is>
      </c>
      <c r="E185" s="8" t="n">
        <v>97.73999999999999</v>
      </c>
      <c r="F185" s="12">
        <f>IF(B185="","",TEXT(B185,"mmm"))</f>
        <v/>
      </c>
    </row>
    <row r="186">
      <c r="B186" s="11" t="n"/>
      <c r="C186" s="7" t="n"/>
      <c r="D186" s="7" t="n"/>
      <c r="E186" s="8" t="n"/>
      <c r="F186" s="12">
        <f>IF(B186="","",TEXT(B186,"mmm"))</f>
        <v/>
      </c>
    </row>
    <row r="187">
      <c r="B187" s="11" t="n"/>
      <c r="C187" s="7" t="n"/>
      <c r="D187" s="7" t="n"/>
      <c r="E187" s="8" t="n"/>
      <c r="F187" s="12">
        <f>IF(B187="","",TEXT(B187,"mmm"))</f>
        <v/>
      </c>
    </row>
    <row r="188">
      <c r="B188" s="11" t="n"/>
      <c r="C188" s="7" t="n"/>
      <c r="D188" s="7" t="n"/>
      <c r="E188" s="8" t="n"/>
      <c r="F188" s="12">
        <f>IF(B188="","",TEXT(B188,"mmm"))</f>
        <v/>
      </c>
    </row>
    <row r="189">
      <c r="B189" s="11" t="n"/>
      <c r="C189" s="7" t="n"/>
      <c r="D189" s="7" t="n"/>
      <c r="E189" s="8" t="n"/>
      <c r="F189" s="12">
        <f>IF(B189="","",TEXT(B189,"mmm"))</f>
        <v/>
      </c>
    </row>
    <row r="190">
      <c r="B190" s="11" t="n"/>
      <c r="C190" s="7" t="n"/>
      <c r="D190" s="7" t="n"/>
      <c r="E190" s="8" t="n"/>
      <c r="F190" s="12">
        <f>IF(B190="","",TEXT(B190,"mmm"))</f>
        <v/>
      </c>
    </row>
    <row r="191">
      <c r="B191" s="11" t="n"/>
      <c r="C191" s="7" t="n"/>
      <c r="D191" s="7" t="n"/>
      <c r="E191" s="8" t="n"/>
      <c r="F191" s="12">
        <f>IF(B191="","",TEXT(B191,"mmm"))</f>
        <v/>
      </c>
    </row>
    <row r="192">
      <c r="B192" s="11" t="n"/>
      <c r="C192" s="7" t="n"/>
      <c r="D192" s="7" t="n"/>
      <c r="E192" s="8" t="n"/>
      <c r="F192" s="12">
        <f>IF(B192="","",TEXT(B192,"mmm"))</f>
        <v/>
      </c>
    </row>
    <row r="193">
      <c r="B193" s="11" t="n"/>
      <c r="C193" s="7" t="n"/>
      <c r="D193" s="7" t="n"/>
      <c r="E193" s="8" t="n"/>
      <c r="F193" s="12">
        <f>IF(B193="","",TEXT(B193,"mmm"))</f>
        <v/>
      </c>
    </row>
    <row r="194">
      <c r="B194" s="11" t="n"/>
      <c r="C194" s="7" t="n"/>
      <c r="D194" s="7" t="n"/>
      <c r="E194" s="8" t="n"/>
      <c r="F194" s="12">
        <f>IF(B194="","",TEXT(B194,"mmm"))</f>
        <v/>
      </c>
    </row>
    <row r="195">
      <c r="B195" s="11" t="n"/>
      <c r="C195" s="7" t="n"/>
      <c r="D195" s="7" t="n"/>
      <c r="E195" s="8" t="n"/>
      <c r="F195" s="12">
        <f>IF(B195="","",TEXT(B195,"mmm"))</f>
        <v/>
      </c>
    </row>
    <row r="196">
      <c r="B196" s="11" t="n"/>
      <c r="C196" s="7" t="n"/>
      <c r="D196" s="7" t="n"/>
      <c r="E196" s="8" t="n"/>
      <c r="F196" s="12">
        <f>IF(B196="","",TEXT(B196,"mmm"))</f>
        <v/>
      </c>
    </row>
    <row r="197">
      <c r="B197" s="11" t="n"/>
      <c r="C197" s="7" t="n"/>
      <c r="D197" s="7" t="n"/>
      <c r="E197" s="8" t="n"/>
      <c r="F197" s="12">
        <f>IF(B197="","",TEXT(B197,"mmm"))</f>
        <v/>
      </c>
    </row>
    <row r="198">
      <c r="B198" s="11" t="n"/>
      <c r="C198" s="7" t="n"/>
      <c r="D198" s="7" t="n"/>
      <c r="E198" s="8" t="n"/>
      <c r="F198" s="12">
        <f>IF(B198="","",TEXT(B198,"mmm"))</f>
        <v/>
      </c>
    </row>
    <row r="199">
      <c r="B199" s="11" t="n"/>
      <c r="C199" s="7" t="n"/>
      <c r="D199" s="7" t="n"/>
      <c r="E199" s="8" t="n"/>
      <c r="F199" s="12">
        <f>IF(B199="","",TEXT(B199,"mmm"))</f>
        <v/>
      </c>
    </row>
    <row r="200">
      <c r="B200" s="11" t="n"/>
      <c r="C200" s="7" t="n"/>
      <c r="D200" s="7" t="n"/>
      <c r="E200" s="8" t="n"/>
      <c r="F200" s="12">
        <f>IF(B200="","",TEXT(B200,"mmm"))</f>
        <v/>
      </c>
    </row>
    <row r="201">
      <c r="B201" s="11" t="n"/>
      <c r="C201" s="7" t="n"/>
      <c r="D201" s="7" t="n"/>
      <c r="E201" s="8" t="n"/>
      <c r="F201" s="12">
        <f>IF(B201="","",TEXT(B201,"mmm"))</f>
        <v/>
      </c>
    </row>
    <row r="202">
      <c r="B202" s="11" t="n"/>
      <c r="C202" s="7" t="n"/>
      <c r="D202" s="7" t="n"/>
      <c r="E202" s="8" t="n"/>
      <c r="F202" s="12">
        <f>IF(B202="","",TEXT(B202,"mmm"))</f>
        <v/>
      </c>
    </row>
    <row r="203">
      <c r="B203" s="11" t="n"/>
      <c r="C203" s="7" t="n"/>
      <c r="D203" s="7" t="n"/>
      <c r="E203" s="8" t="n"/>
      <c r="F203" s="12">
        <f>IF(B203="","",TEXT(B203,"mmm"))</f>
        <v/>
      </c>
    </row>
    <row r="204">
      <c r="B204" s="11" t="n"/>
      <c r="C204" s="7" t="n"/>
      <c r="D204" s="7" t="n"/>
      <c r="E204" s="8" t="n"/>
      <c r="F204" s="12">
        <f>IF(B204="","",TEXT(B204,"mmm"))</f>
        <v/>
      </c>
    </row>
    <row r="205">
      <c r="B205" s="11" t="n"/>
      <c r="C205" s="7" t="n"/>
      <c r="D205" s="7" t="n"/>
      <c r="E205" s="8" t="n"/>
      <c r="F205" s="12">
        <f>IF(B205="","",TEXT(B205,"mmm"))</f>
        <v/>
      </c>
    </row>
    <row r="206">
      <c r="B206" s="11" t="n"/>
      <c r="C206" s="7" t="n"/>
      <c r="D206" s="7" t="n"/>
      <c r="E206" s="8" t="n"/>
      <c r="F206" s="12">
        <f>IF(B206="","",TEXT(B206,"mmm"))</f>
        <v/>
      </c>
    </row>
    <row r="207">
      <c r="B207" s="11" t="n"/>
      <c r="C207" s="7" t="n"/>
      <c r="D207" s="7" t="n"/>
      <c r="E207" s="8" t="n"/>
      <c r="F207" s="12">
        <f>IF(B207="","",TEXT(B207,"mmm"))</f>
        <v/>
      </c>
    </row>
    <row r="208">
      <c r="B208" s="11" t="n"/>
      <c r="C208" s="7" t="n"/>
      <c r="D208" s="7" t="n"/>
      <c r="E208" s="8" t="n"/>
      <c r="F208" s="12">
        <f>IF(B208="","",TEXT(B208,"mmm"))</f>
        <v/>
      </c>
    </row>
    <row r="209">
      <c r="B209" s="11" t="n"/>
      <c r="C209" s="7" t="n"/>
      <c r="D209" s="7" t="n"/>
      <c r="E209" s="8" t="n"/>
      <c r="F209" s="12">
        <f>IF(B209="","",TEXT(B209,"mmm"))</f>
        <v/>
      </c>
    </row>
    <row r="210">
      <c r="B210" s="11" t="n"/>
      <c r="C210" s="7" t="n"/>
      <c r="D210" s="7" t="n"/>
      <c r="E210" s="8" t="n"/>
      <c r="F210" s="12">
        <f>IF(B210="","",TEXT(B210,"mmm"))</f>
        <v/>
      </c>
    </row>
    <row r="211">
      <c r="B211" s="11" t="n"/>
      <c r="C211" s="7" t="n"/>
      <c r="D211" s="7" t="n"/>
      <c r="E211" s="8" t="n"/>
      <c r="F211" s="12">
        <f>IF(B211="","",TEXT(B211,"mmm"))</f>
        <v/>
      </c>
    </row>
    <row r="212">
      <c r="B212" s="11" t="n"/>
      <c r="C212" s="7" t="n"/>
      <c r="D212" s="7" t="n"/>
      <c r="E212" s="8" t="n"/>
      <c r="F212" s="12">
        <f>IF(B212="","",TEXT(B212,"mmm"))</f>
        <v/>
      </c>
    </row>
    <row r="213">
      <c r="B213" s="11" t="n"/>
      <c r="C213" s="7" t="n"/>
      <c r="D213" s="7" t="n"/>
      <c r="E213" s="8" t="n"/>
      <c r="F213" s="12">
        <f>IF(B213="","",TEXT(B213,"mmm"))</f>
        <v/>
      </c>
    </row>
    <row r="214">
      <c r="B214" s="11" t="n"/>
      <c r="C214" s="7" t="n"/>
      <c r="D214" s="7" t="n"/>
      <c r="E214" s="8" t="n"/>
      <c r="F214" s="12">
        <f>IF(B214="","",TEXT(B214,"mmm"))</f>
        <v/>
      </c>
    </row>
    <row r="215">
      <c r="B215" s="11" t="n"/>
      <c r="C215" s="7" t="n"/>
      <c r="D215" s="7" t="n"/>
      <c r="E215" s="8" t="n"/>
      <c r="F215" s="12">
        <f>IF(B215="","",TEXT(B215,"mmm"))</f>
        <v/>
      </c>
    </row>
    <row r="216">
      <c r="B216" s="11" t="n"/>
      <c r="C216" s="7" t="n"/>
      <c r="D216" s="7" t="n"/>
      <c r="E216" s="8" t="n"/>
      <c r="F216" s="12">
        <f>IF(B216="","",TEXT(B216,"mmm"))</f>
        <v/>
      </c>
    </row>
    <row r="217">
      <c r="B217" s="11" t="n"/>
      <c r="C217" s="7" t="n"/>
      <c r="D217" s="7" t="n"/>
      <c r="E217" s="8" t="n"/>
      <c r="F217" s="12">
        <f>IF(B217="","",TEXT(B217,"mmm"))</f>
        <v/>
      </c>
    </row>
    <row r="218">
      <c r="B218" s="11" t="n"/>
      <c r="C218" s="7" t="n"/>
      <c r="D218" s="7" t="n"/>
      <c r="E218" s="8" t="n"/>
      <c r="F218" s="12">
        <f>IF(B218="","",TEXT(B218,"mmm"))</f>
        <v/>
      </c>
    </row>
    <row r="219">
      <c r="B219" s="11" t="n"/>
      <c r="C219" s="7" t="n"/>
      <c r="D219" s="7" t="n"/>
      <c r="E219" s="8" t="n"/>
      <c r="F219" s="12">
        <f>IF(B219="","",TEXT(B219,"mmm"))</f>
        <v/>
      </c>
    </row>
    <row r="220">
      <c r="B220" s="11" t="n"/>
      <c r="C220" s="7" t="n"/>
      <c r="D220" s="7" t="n"/>
      <c r="E220" s="8" t="n"/>
      <c r="F220" s="12">
        <f>IF(B220="","",TEXT(B220,"mmm"))</f>
        <v/>
      </c>
    </row>
    <row r="221">
      <c r="B221" s="11" t="n"/>
      <c r="C221" s="7" t="n"/>
      <c r="D221" s="7" t="n"/>
      <c r="E221" s="8" t="n"/>
      <c r="F221" s="12">
        <f>IF(B221="","",TEXT(B221,"mmm"))</f>
        <v/>
      </c>
    </row>
    <row r="222">
      <c r="B222" s="11" t="n"/>
      <c r="C222" s="7" t="n"/>
      <c r="D222" s="7" t="n"/>
      <c r="E222" s="8" t="n"/>
      <c r="F222" s="12">
        <f>IF(B222="","",TEXT(B222,"mmm"))</f>
        <v/>
      </c>
    </row>
    <row r="223">
      <c r="B223" s="11" t="n"/>
      <c r="C223" s="7" t="n"/>
      <c r="D223" s="7" t="n"/>
      <c r="E223" s="8" t="n"/>
      <c r="F223" s="12">
        <f>IF(B223="","",TEXT(B223,"mmm"))</f>
        <v/>
      </c>
    </row>
    <row r="224">
      <c r="B224" s="11" t="n"/>
      <c r="C224" s="7" t="n"/>
      <c r="D224" s="7" t="n"/>
      <c r="E224" s="8" t="n"/>
      <c r="F224" s="12">
        <f>IF(B224="","",TEXT(B224,"mmm"))</f>
        <v/>
      </c>
    </row>
    <row r="225">
      <c r="B225" s="11" t="n"/>
      <c r="C225" s="7" t="n"/>
      <c r="D225" s="7" t="n"/>
      <c r="E225" s="8" t="n"/>
      <c r="F225" s="12">
        <f>IF(B225="","",TEXT(B225,"mmm"))</f>
        <v/>
      </c>
    </row>
    <row r="226">
      <c r="B226" s="11" t="n"/>
      <c r="C226" s="7" t="n"/>
      <c r="D226" s="7" t="n"/>
      <c r="E226" s="8" t="n"/>
      <c r="F226" s="12">
        <f>IF(B226="","",TEXT(B226,"mmm"))</f>
        <v/>
      </c>
    </row>
    <row r="227">
      <c r="B227" s="11" t="n"/>
      <c r="C227" s="7" t="n"/>
      <c r="D227" s="7" t="n"/>
      <c r="E227" s="8" t="n"/>
      <c r="F227" s="12">
        <f>IF(B227="","",TEXT(B227,"mmm"))</f>
        <v/>
      </c>
    </row>
    <row r="228">
      <c r="B228" s="11" t="n"/>
      <c r="C228" s="7" t="n"/>
      <c r="D228" s="7" t="n"/>
      <c r="E228" s="8" t="n"/>
      <c r="F228" s="12">
        <f>IF(B228="","",TEXT(B228,"mmm"))</f>
        <v/>
      </c>
    </row>
    <row r="229">
      <c r="B229" s="11" t="n"/>
      <c r="C229" s="7" t="n"/>
      <c r="D229" s="7" t="n"/>
      <c r="E229" s="8" t="n"/>
      <c r="F229" s="12">
        <f>IF(B229="","",TEXT(B229,"mmm"))</f>
        <v/>
      </c>
    </row>
    <row r="230">
      <c r="B230" s="11" t="n"/>
      <c r="C230" s="7" t="n"/>
      <c r="D230" s="7" t="n"/>
      <c r="E230" s="8" t="n"/>
      <c r="F230" s="12">
        <f>IF(B230="","",TEXT(B230,"mmm"))</f>
        <v/>
      </c>
    </row>
    <row r="231">
      <c r="B231" s="11" t="n"/>
      <c r="C231" s="7" t="n"/>
      <c r="D231" s="7" t="n"/>
      <c r="E231" s="8" t="n"/>
      <c r="F231" s="12">
        <f>IF(B231="","",TEXT(B231,"mmm"))</f>
        <v/>
      </c>
    </row>
    <row r="232">
      <c r="B232" s="11" t="n"/>
      <c r="C232" s="7" t="n"/>
      <c r="D232" s="7" t="n"/>
      <c r="E232" s="8" t="n"/>
      <c r="F232" s="12">
        <f>IF(B232="","",TEXT(B232,"mmm"))</f>
        <v/>
      </c>
    </row>
    <row r="233">
      <c r="B233" s="11" t="n"/>
      <c r="C233" s="7" t="n"/>
      <c r="D233" s="7" t="n"/>
      <c r="E233" s="8" t="n"/>
      <c r="F233" s="12">
        <f>IF(B233="","",TEXT(B233,"mmm"))</f>
        <v/>
      </c>
    </row>
    <row r="234">
      <c r="B234" s="11" t="n"/>
      <c r="C234" s="7" t="n"/>
      <c r="D234" s="7" t="n"/>
      <c r="E234" s="8" t="n"/>
      <c r="F234" s="12">
        <f>IF(B234="","",TEXT(B234,"mmm"))</f>
        <v/>
      </c>
    </row>
    <row r="235">
      <c r="B235" s="11" t="n"/>
      <c r="C235" s="7" t="n"/>
      <c r="D235" s="7" t="n"/>
      <c r="E235" s="8" t="n"/>
      <c r="F235" s="12">
        <f>IF(B235="","",TEXT(B235,"mmm"))</f>
        <v/>
      </c>
    </row>
    <row r="236">
      <c r="B236" s="11" t="n"/>
      <c r="C236" s="7" t="n"/>
      <c r="D236" s="7" t="n"/>
      <c r="E236" s="8" t="n"/>
      <c r="F236" s="12">
        <f>IF(B236="","",TEXT(B236,"mmm"))</f>
        <v/>
      </c>
    </row>
    <row r="237">
      <c r="B237" s="11" t="n"/>
      <c r="C237" s="7" t="n"/>
      <c r="D237" s="7" t="n"/>
      <c r="E237" s="8" t="n"/>
      <c r="F237" s="12">
        <f>IF(B237="","",TEXT(B237,"mmm"))</f>
        <v/>
      </c>
    </row>
    <row r="238">
      <c r="B238" s="11" t="n"/>
      <c r="C238" s="7" t="n"/>
      <c r="D238" s="7" t="n"/>
      <c r="E238" s="8" t="n"/>
      <c r="F238" s="12">
        <f>IF(B238="","",TEXT(B238,"mmm"))</f>
        <v/>
      </c>
    </row>
    <row r="239">
      <c r="B239" s="11" t="n"/>
      <c r="C239" s="7" t="n"/>
      <c r="D239" s="7" t="n"/>
      <c r="E239" s="8" t="n"/>
      <c r="F239" s="12">
        <f>IF(B239="","",TEXT(B239,"mmm"))</f>
        <v/>
      </c>
    </row>
    <row r="240">
      <c r="B240" s="11" t="n"/>
      <c r="C240" s="7" t="n"/>
      <c r="D240" s="7" t="n"/>
      <c r="E240" s="8" t="n"/>
      <c r="F240" s="12">
        <f>IF(B240="","",TEXT(B240,"mmm"))</f>
        <v/>
      </c>
    </row>
    <row r="241">
      <c r="B241" s="11" t="n"/>
      <c r="C241" s="7" t="n"/>
      <c r="D241" s="7" t="n"/>
      <c r="E241" s="8" t="n"/>
      <c r="F241" s="12">
        <f>IF(B241="","",TEXT(B241,"mmm"))</f>
        <v/>
      </c>
    </row>
    <row r="242">
      <c r="B242" s="11" t="n"/>
      <c r="C242" s="7" t="n"/>
      <c r="D242" s="7" t="n"/>
      <c r="E242" s="8" t="n"/>
      <c r="F242" s="12">
        <f>IF(B242="","",TEXT(B242,"mmm"))</f>
        <v/>
      </c>
    </row>
    <row r="243">
      <c r="B243" s="11" t="n"/>
      <c r="C243" s="7" t="n"/>
      <c r="D243" s="7" t="n"/>
      <c r="E243" s="8" t="n"/>
      <c r="F243" s="12">
        <f>IF(B243="","",TEXT(B243,"mmm"))</f>
        <v/>
      </c>
    </row>
    <row r="244">
      <c r="B244" s="11" t="n"/>
      <c r="C244" s="7" t="n"/>
      <c r="D244" s="7" t="n"/>
      <c r="E244" s="8" t="n"/>
      <c r="F244" s="12">
        <f>IF(B244="","",TEXT(B244,"mmm"))</f>
        <v/>
      </c>
    </row>
    <row r="245">
      <c r="B245" s="11" t="n"/>
      <c r="C245" s="7" t="n"/>
      <c r="D245" s="7" t="n"/>
      <c r="E245" s="8" t="n"/>
      <c r="F245" s="12">
        <f>IF(B245="","",TEXT(B245,"mmm"))</f>
        <v/>
      </c>
    </row>
    <row r="246">
      <c r="B246" s="11" t="n"/>
      <c r="C246" s="7" t="n"/>
      <c r="D246" s="7" t="n"/>
      <c r="E246" s="8" t="n"/>
      <c r="F246" s="12">
        <f>IF(B246="","",TEXT(B246,"mmm"))</f>
        <v/>
      </c>
    </row>
    <row r="247">
      <c r="B247" s="11" t="n"/>
      <c r="C247" s="7" t="n"/>
      <c r="D247" s="7" t="n"/>
      <c r="E247" s="8" t="n"/>
      <c r="F247" s="12">
        <f>IF(B247="","",TEXT(B247,"mmm"))</f>
        <v/>
      </c>
    </row>
    <row r="248">
      <c r="B248" s="11" t="n"/>
      <c r="C248" s="7" t="n"/>
      <c r="D248" s="7" t="n"/>
      <c r="E248" s="8" t="n"/>
      <c r="F248" s="12">
        <f>IF(B248="","",TEXT(B248,"mmm"))</f>
        <v/>
      </c>
    </row>
    <row r="249">
      <c r="B249" s="11" t="n"/>
      <c r="C249" s="7" t="n"/>
      <c r="D249" s="7" t="n"/>
      <c r="E249" s="8" t="n"/>
      <c r="F249" s="12">
        <f>IF(B249="","",TEXT(B249,"mmm"))</f>
        <v/>
      </c>
    </row>
    <row r="250">
      <c r="B250" s="11" t="n"/>
      <c r="C250" s="7" t="n"/>
      <c r="D250" s="7" t="n"/>
      <c r="E250" s="8" t="n"/>
      <c r="F250" s="12">
        <f>IF(B250="","",TEXT(B250,"mmm"))</f>
        <v/>
      </c>
    </row>
    <row r="251">
      <c r="B251" s="11" t="n"/>
      <c r="C251" s="7" t="n"/>
      <c r="D251" s="7" t="n"/>
      <c r="E251" s="8" t="n"/>
      <c r="F251" s="12">
        <f>IF(B251="","",TEXT(B251,"mmm"))</f>
        <v/>
      </c>
    </row>
    <row r="252">
      <c r="B252" s="11" t="n"/>
      <c r="C252" s="7" t="n"/>
      <c r="D252" s="7" t="n"/>
      <c r="E252" s="8" t="n"/>
      <c r="F252" s="12">
        <f>IF(B252="","",TEXT(B252,"mmm"))</f>
        <v/>
      </c>
    </row>
    <row r="253">
      <c r="B253" s="11" t="n"/>
      <c r="C253" s="7" t="n"/>
      <c r="D253" s="7" t="n"/>
      <c r="E253" s="8" t="n"/>
      <c r="F253" s="12">
        <f>IF(B253="","",TEXT(B253,"mmm"))</f>
        <v/>
      </c>
    </row>
    <row r="254">
      <c r="B254" s="11" t="n"/>
      <c r="C254" s="7" t="n"/>
      <c r="D254" s="7" t="n"/>
      <c r="E254" s="8" t="n"/>
      <c r="F254" s="12">
        <f>IF(B254="","",TEXT(B254,"mmm"))</f>
        <v/>
      </c>
    </row>
    <row r="255">
      <c r="B255" s="11" t="n"/>
      <c r="C255" s="7" t="n"/>
      <c r="D255" s="7" t="n"/>
      <c r="E255" s="8" t="n"/>
      <c r="F255" s="12">
        <f>IF(B255="","",TEXT(B255,"mmm"))</f>
        <v/>
      </c>
    </row>
    <row r="256">
      <c r="B256" s="11" t="n"/>
      <c r="C256" s="7" t="n"/>
      <c r="D256" s="7" t="n"/>
      <c r="E256" s="8" t="n"/>
      <c r="F256" s="12">
        <f>IF(B256="","",TEXT(B256,"mmm"))</f>
        <v/>
      </c>
    </row>
    <row r="257">
      <c r="B257" s="11" t="n"/>
      <c r="C257" s="7" t="n"/>
      <c r="D257" s="7" t="n"/>
      <c r="E257" s="8" t="n"/>
      <c r="F257" s="12">
        <f>IF(B257="","",TEXT(B257,"mmm"))</f>
        <v/>
      </c>
    </row>
    <row r="258">
      <c r="B258" s="11" t="n"/>
      <c r="C258" s="7" t="n"/>
      <c r="D258" s="7" t="n"/>
      <c r="E258" s="8" t="n"/>
      <c r="F258" s="12">
        <f>IF(B258="","",TEXT(B258,"mmm"))</f>
        <v/>
      </c>
    </row>
    <row r="259">
      <c r="B259" s="11" t="n"/>
      <c r="C259" s="7" t="n"/>
      <c r="D259" s="7" t="n"/>
      <c r="E259" s="8" t="n"/>
      <c r="F259" s="12">
        <f>IF(B259="","",TEXT(B259,"mmm"))</f>
        <v/>
      </c>
    </row>
    <row r="260">
      <c r="B260" s="11" t="n"/>
      <c r="C260" s="7" t="n"/>
      <c r="D260" s="7" t="n"/>
      <c r="E260" s="8" t="n"/>
      <c r="F260" s="12">
        <f>IF(B260="","",TEXT(B260,"mmm"))</f>
        <v/>
      </c>
    </row>
    <row r="261">
      <c r="B261" s="11" t="n"/>
      <c r="C261" s="7" t="n"/>
      <c r="D261" s="7" t="n"/>
      <c r="E261" s="8" t="n"/>
      <c r="F261" s="12">
        <f>IF(B261="","",TEXT(B261,"mmm"))</f>
        <v/>
      </c>
    </row>
    <row r="262">
      <c r="B262" s="11" t="n"/>
      <c r="C262" s="7" t="n"/>
      <c r="D262" s="7" t="n"/>
      <c r="E262" s="8" t="n"/>
      <c r="F262" s="12">
        <f>IF(B262="","",TEXT(B262,"mmm"))</f>
        <v/>
      </c>
    </row>
    <row r="263">
      <c r="B263" s="11" t="n"/>
      <c r="C263" s="7" t="n"/>
      <c r="D263" s="7" t="n"/>
      <c r="E263" s="8" t="n"/>
      <c r="F263" s="12">
        <f>IF(B263="","",TEXT(B263,"mmm"))</f>
        <v/>
      </c>
    </row>
    <row r="264">
      <c r="B264" s="11" t="n"/>
      <c r="C264" s="7" t="n"/>
      <c r="D264" s="7" t="n"/>
      <c r="E264" s="8" t="n"/>
      <c r="F264" s="12">
        <f>IF(B264="","",TEXT(B264,"mmm"))</f>
        <v/>
      </c>
    </row>
    <row r="265">
      <c r="B265" s="11" t="n"/>
      <c r="C265" s="7" t="n"/>
      <c r="D265" s="7" t="n"/>
      <c r="E265" s="8" t="n"/>
      <c r="F265" s="12">
        <f>IF(B265="","",TEXT(B265,"mmm"))</f>
        <v/>
      </c>
    </row>
    <row r="266">
      <c r="B266" s="11" t="n"/>
      <c r="C266" s="7" t="n"/>
      <c r="D266" s="7" t="n"/>
      <c r="E266" s="8" t="n"/>
      <c r="F266" s="12">
        <f>IF(B266="","",TEXT(B266,"mmm"))</f>
        <v/>
      </c>
    </row>
    <row r="267">
      <c r="B267" s="11" t="n"/>
      <c r="C267" s="7" t="n"/>
      <c r="D267" s="7" t="n"/>
      <c r="E267" s="8" t="n"/>
      <c r="F267" s="12">
        <f>IF(B267="","",TEXT(B267,"mmm"))</f>
        <v/>
      </c>
    </row>
    <row r="268">
      <c r="B268" s="11" t="n"/>
      <c r="C268" s="7" t="n"/>
      <c r="D268" s="7" t="n"/>
      <c r="E268" s="8" t="n"/>
      <c r="F268" s="12">
        <f>IF(B268="","",TEXT(B268,"mmm"))</f>
        <v/>
      </c>
    </row>
    <row r="269">
      <c r="B269" s="11" t="n"/>
      <c r="C269" s="7" t="n"/>
      <c r="D269" s="7" t="n"/>
      <c r="E269" s="8" t="n"/>
      <c r="F269" s="12">
        <f>IF(B269="","",TEXT(B269,"mmm"))</f>
        <v/>
      </c>
    </row>
    <row r="270">
      <c r="B270" s="11" t="n"/>
      <c r="C270" s="7" t="n"/>
      <c r="D270" s="7" t="n"/>
      <c r="E270" s="8" t="n"/>
      <c r="F270" s="12">
        <f>IF(B270="","",TEXT(B270,"mmm"))</f>
        <v/>
      </c>
    </row>
    <row r="271">
      <c r="B271" s="11" t="n"/>
      <c r="C271" s="7" t="n"/>
      <c r="D271" s="7" t="n"/>
      <c r="E271" s="8" t="n"/>
      <c r="F271" s="12">
        <f>IF(B271="","",TEXT(B271,"mmm"))</f>
        <v/>
      </c>
    </row>
    <row r="272">
      <c r="B272" s="11" t="n"/>
      <c r="C272" s="7" t="n"/>
      <c r="D272" s="7" t="n"/>
      <c r="E272" s="8" t="n"/>
      <c r="F272" s="12">
        <f>IF(B272="","",TEXT(B272,"mmm"))</f>
        <v/>
      </c>
    </row>
    <row r="273">
      <c r="B273" s="11" t="n"/>
      <c r="C273" s="7" t="n"/>
      <c r="D273" s="7" t="n"/>
      <c r="E273" s="8" t="n"/>
      <c r="F273" s="12">
        <f>IF(B273="","",TEXT(B273,"mmm"))</f>
        <v/>
      </c>
    </row>
    <row r="274">
      <c r="B274" s="11" t="n"/>
      <c r="C274" s="7" t="n"/>
      <c r="D274" s="7" t="n"/>
      <c r="E274" s="8" t="n"/>
      <c r="F274" s="12">
        <f>IF(B274="","",TEXT(B274,"mmm"))</f>
        <v/>
      </c>
    </row>
    <row r="275">
      <c r="B275" s="11" t="n"/>
      <c r="C275" s="7" t="n"/>
      <c r="D275" s="7" t="n"/>
      <c r="E275" s="8" t="n"/>
      <c r="F275" s="12">
        <f>IF(B275="","",TEXT(B275,"mmm"))</f>
        <v/>
      </c>
    </row>
    <row r="276">
      <c r="B276" s="11" t="n"/>
      <c r="C276" s="7" t="n"/>
      <c r="D276" s="7" t="n"/>
      <c r="E276" s="8" t="n"/>
      <c r="F276" s="12">
        <f>IF(B276="","",TEXT(B276,"mmm"))</f>
        <v/>
      </c>
    </row>
    <row r="277">
      <c r="B277" s="11" t="n"/>
      <c r="C277" s="7" t="n"/>
      <c r="D277" s="7" t="n"/>
      <c r="E277" s="8" t="n"/>
      <c r="F277" s="12">
        <f>IF(B277="","",TEXT(B277,"mmm"))</f>
        <v/>
      </c>
    </row>
    <row r="278">
      <c r="B278" s="11" t="n"/>
      <c r="C278" s="7" t="n"/>
      <c r="D278" s="7" t="n"/>
      <c r="E278" s="8" t="n"/>
      <c r="F278" s="12">
        <f>IF(B278="","",TEXT(B278,"mmm"))</f>
        <v/>
      </c>
    </row>
    <row r="279">
      <c r="B279" s="11" t="n"/>
      <c r="C279" s="7" t="n"/>
      <c r="D279" s="7" t="n"/>
      <c r="E279" s="8" t="n"/>
      <c r="F279" s="12">
        <f>IF(B279="","",TEXT(B279,"mmm"))</f>
        <v/>
      </c>
    </row>
    <row r="280">
      <c r="B280" s="11" t="n"/>
      <c r="C280" s="7" t="n"/>
      <c r="D280" s="7" t="n"/>
      <c r="E280" s="8" t="n"/>
      <c r="F280" s="12">
        <f>IF(B280="","",TEXT(B280,"mmm"))</f>
        <v/>
      </c>
    </row>
    <row r="281">
      <c r="B281" s="11" t="n"/>
      <c r="C281" s="7" t="n"/>
      <c r="D281" s="7" t="n"/>
      <c r="E281" s="8" t="n"/>
      <c r="F281" s="12">
        <f>IF(B281="","",TEXT(B281,"mmm"))</f>
        <v/>
      </c>
    </row>
    <row r="282">
      <c r="B282" s="11" t="n"/>
      <c r="C282" s="7" t="n"/>
      <c r="D282" s="7" t="n"/>
      <c r="E282" s="8" t="n"/>
      <c r="F282" s="12">
        <f>IF(B282="","",TEXT(B282,"mmm"))</f>
        <v/>
      </c>
    </row>
    <row r="283">
      <c r="B283" s="11" t="n"/>
      <c r="C283" s="7" t="n"/>
      <c r="D283" s="7" t="n"/>
      <c r="E283" s="8" t="n"/>
      <c r="F283" s="12">
        <f>IF(B283="","",TEXT(B283,"mmm"))</f>
        <v/>
      </c>
    </row>
    <row r="284">
      <c r="B284" s="11" t="n"/>
      <c r="C284" s="7" t="n"/>
      <c r="D284" s="7" t="n"/>
      <c r="E284" s="8" t="n"/>
      <c r="F284" s="12">
        <f>IF(B284="","",TEXT(B284,"mmm"))</f>
        <v/>
      </c>
    </row>
    <row r="285">
      <c r="B285" s="11" t="n"/>
      <c r="C285" s="7" t="n"/>
      <c r="D285" s="7" t="n"/>
      <c r="E285" s="8" t="n"/>
      <c r="F285" s="12">
        <f>IF(B285="","",TEXT(B285,"mmm"))</f>
        <v/>
      </c>
    </row>
    <row r="286">
      <c r="B286" s="11" t="n"/>
      <c r="C286" s="7" t="n"/>
      <c r="D286" s="7" t="n"/>
      <c r="E286" s="8" t="n"/>
      <c r="F286" s="12">
        <f>IF(B286="","",TEXT(B286,"mmm"))</f>
        <v/>
      </c>
    </row>
    <row r="287">
      <c r="B287" s="11" t="n"/>
      <c r="C287" s="7" t="n"/>
      <c r="D287" s="7" t="n"/>
      <c r="E287" s="8" t="n"/>
      <c r="F287" s="12">
        <f>IF(B287="","",TEXT(B287,"mmm"))</f>
        <v/>
      </c>
    </row>
    <row r="288">
      <c r="B288" s="11" t="n"/>
      <c r="C288" s="7" t="n"/>
      <c r="D288" s="7" t="n"/>
      <c r="E288" s="8" t="n"/>
      <c r="F288" s="12">
        <f>IF(B288="","",TEXT(B288,"mmm"))</f>
        <v/>
      </c>
    </row>
    <row r="289">
      <c r="B289" s="11" t="n"/>
      <c r="C289" s="7" t="n"/>
      <c r="D289" s="7" t="n"/>
      <c r="E289" s="8" t="n"/>
      <c r="F289" s="12">
        <f>IF(B289="","",TEXT(B289,"mmm"))</f>
        <v/>
      </c>
    </row>
    <row r="290">
      <c r="B290" s="11" t="n"/>
      <c r="C290" s="7" t="n"/>
      <c r="D290" s="7" t="n"/>
      <c r="E290" s="8" t="n"/>
      <c r="F290" s="12">
        <f>IF(B290="","",TEXT(B290,"mmm"))</f>
        <v/>
      </c>
    </row>
    <row r="291">
      <c r="B291" s="11" t="n"/>
      <c r="C291" s="7" t="n"/>
      <c r="D291" s="7" t="n"/>
      <c r="E291" s="8" t="n"/>
      <c r="F291" s="12">
        <f>IF(B291="","",TEXT(B291,"mmm"))</f>
        <v/>
      </c>
    </row>
    <row r="292">
      <c r="B292" s="11" t="n"/>
      <c r="C292" s="7" t="n"/>
      <c r="D292" s="7" t="n"/>
      <c r="E292" s="8" t="n"/>
      <c r="F292" s="12">
        <f>IF(B292="","",TEXT(B292,"mmm"))</f>
        <v/>
      </c>
    </row>
    <row r="293">
      <c r="B293" s="11" t="n"/>
      <c r="C293" s="7" t="n"/>
      <c r="D293" s="7" t="n"/>
      <c r="E293" s="8" t="n"/>
      <c r="F293" s="12">
        <f>IF(B293="","",TEXT(B293,"mmm"))</f>
        <v/>
      </c>
    </row>
    <row r="294">
      <c r="B294" s="11" t="n"/>
      <c r="C294" s="7" t="n"/>
      <c r="D294" s="7" t="n"/>
      <c r="E294" s="8" t="n"/>
      <c r="F294" s="12">
        <f>IF(B294="","",TEXT(B294,"mmm"))</f>
        <v/>
      </c>
    </row>
    <row r="295">
      <c r="B295" s="11" t="n"/>
      <c r="C295" s="7" t="n"/>
      <c r="D295" s="7" t="n"/>
      <c r="E295" s="8" t="n"/>
      <c r="F295" s="12">
        <f>IF(B295="","",TEXT(B295,"mmm"))</f>
        <v/>
      </c>
    </row>
    <row r="296">
      <c r="B296" s="11" t="n"/>
      <c r="C296" s="7" t="n"/>
      <c r="D296" s="7" t="n"/>
      <c r="E296" s="8" t="n"/>
      <c r="F296" s="12">
        <f>IF(B296="","",TEXT(B296,"mmm"))</f>
        <v/>
      </c>
    </row>
    <row r="297">
      <c r="B297" s="11" t="n"/>
      <c r="C297" s="7" t="n"/>
      <c r="D297" s="7" t="n"/>
      <c r="E297" s="8" t="n"/>
      <c r="F297" s="12">
        <f>IF(B297="","",TEXT(B297,"mmm"))</f>
        <v/>
      </c>
    </row>
    <row r="298">
      <c r="B298" s="11" t="n"/>
      <c r="C298" s="7" t="n"/>
      <c r="D298" s="7" t="n"/>
      <c r="E298" s="8" t="n"/>
      <c r="F298" s="12">
        <f>IF(B298="","",TEXT(B298,"mmm"))</f>
        <v/>
      </c>
    </row>
    <row r="299">
      <c r="B299" s="11" t="n"/>
      <c r="C299" s="7" t="n"/>
      <c r="D299" s="7" t="n"/>
      <c r="E299" s="8" t="n"/>
      <c r="F299" s="12">
        <f>IF(B299="","",TEXT(B299,"mmm"))</f>
        <v/>
      </c>
    </row>
    <row r="300">
      <c r="B300" s="11" t="n"/>
      <c r="C300" s="7" t="n"/>
      <c r="D300" s="7" t="n"/>
      <c r="E300" s="8" t="n"/>
      <c r="F300" s="12">
        <f>IF(B300="","",TEXT(B300,"mmm"))</f>
        <v/>
      </c>
    </row>
    <row r="301">
      <c r="B301" s="11" t="n"/>
      <c r="C301" s="7" t="n"/>
      <c r="D301" s="7" t="n"/>
      <c r="E301" s="8" t="n"/>
      <c r="F301" s="12">
        <f>IF(B301="","",TEXT(B301,"mmm"))</f>
        <v/>
      </c>
    </row>
    <row r="302">
      <c r="B302" s="11" t="n"/>
      <c r="C302" s="7" t="n"/>
      <c r="D302" s="7" t="n"/>
      <c r="E302" s="8" t="n"/>
      <c r="F302" s="12">
        <f>IF(B302="","",TEXT(B302,"mmm"))</f>
        <v/>
      </c>
    </row>
    <row r="303">
      <c r="B303" s="11" t="n"/>
      <c r="C303" s="7" t="n"/>
      <c r="D303" s="7" t="n"/>
      <c r="E303" s="8" t="n"/>
      <c r="F303" s="12">
        <f>IF(B303="","",TEXT(B303,"mmm"))</f>
        <v/>
      </c>
    </row>
    <row r="304">
      <c r="B304" s="11" t="n"/>
      <c r="C304" s="7" t="n"/>
      <c r="D304" s="7" t="n"/>
      <c r="E304" s="8" t="n"/>
      <c r="F304" s="12">
        <f>IF(B304="","",TEXT(B304,"mmm"))</f>
        <v/>
      </c>
    </row>
    <row r="305">
      <c r="B305" s="11" t="n"/>
      <c r="C305" s="7" t="n"/>
      <c r="D305" s="7" t="n"/>
      <c r="E305" s="8" t="n"/>
      <c r="F305" s="12">
        <f>IF(B305="","",TEXT(B305,"mmm"))</f>
        <v/>
      </c>
    </row>
    <row r="306">
      <c r="B306" s="11" t="n"/>
      <c r="C306" s="7" t="n"/>
      <c r="D306" s="7" t="n"/>
      <c r="E306" s="8" t="n"/>
      <c r="F306" s="12">
        <f>IF(B306="","",TEXT(B306,"mmm"))</f>
        <v/>
      </c>
    </row>
    <row r="307">
      <c r="B307" s="11" t="n"/>
      <c r="C307" s="7" t="n"/>
      <c r="D307" s="7" t="n"/>
      <c r="E307" s="8" t="n"/>
      <c r="F307" s="12">
        <f>IF(B307="","",TEXT(B307,"mmm"))</f>
        <v/>
      </c>
    </row>
    <row r="308">
      <c r="B308" s="11" t="n"/>
      <c r="C308" s="7" t="n"/>
      <c r="D308" s="7" t="n"/>
      <c r="E308" s="8" t="n"/>
      <c r="F308" s="12">
        <f>IF(B308="","",TEXT(B308,"mmm"))</f>
        <v/>
      </c>
    </row>
    <row r="309">
      <c r="B309" s="11" t="n"/>
      <c r="C309" s="7" t="n"/>
      <c r="D309" s="7" t="n"/>
      <c r="E309" s="8" t="n"/>
      <c r="F309" s="12">
        <f>IF(B309="","",TEXT(B309,"mmm"))</f>
        <v/>
      </c>
    </row>
    <row r="310">
      <c r="B310" s="11" t="n"/>
      <c r="C310" s="7" t="n"/>
      <c r="D310" s="7" t="n"/>
      <c r="E310" s="8" t="n"/>
      <c r="F310" s="12">
        <f>IF(B310="","",TEXT(B310,"mmm"))</f>
        <v/>
      </c>
    </row>
    <row r="311">
      <c r="B311" s="11" t="n"/>
      <c r="C311" s="7" t="n"/>
      <c r="D311" s="7" t="n"/>
      <c r="E311" s="8" t="n"/>
      <c r="F311" s="12">
        <f>IF(B311="","",TEXT(B311,"mmm"))</f>
        <v/>
      </c>
    </row>
    <row r="312">
      <c r="B312" s="11" t="n"/>
      <c r="C312" s="7" t="n"/>
      <c r="D312" s="7" t="n"/>
      <c r="E312" s="8" t="n"/>
      <c r="F312" s="12">
        <f>IF(B312="","",TEXT(B312,"mmm"))</f>
        <v/>
      </c>
    </row>
    <row r="313">
      <c r="B313" s="11" t="n"/>
      <c r="C313" s="7" t="n"/>
      <c r="D313" s="7" t="n"/>
      <c r="E313" s="8" t="n"/>
      <c r="F313" s="12">
        <f>IF(B313="","",TEXT(B313,"mmm"))</f>
        <v/>
      </c>
    </row>
    <row r="314">
      <c r="B314" s="11" t="n"/>
      <c r="C314" s="7" t="n"/>
      <c r="D314" s="7" t="n"/>
      <c r="E314" s="8" t="n"/>
      <c r="F314" s="12">
        <f>IF(B314="","",TEXT(B314,"mmm"))</f>
        <v/>
      </c>
    </row>
    <row r="315">
      <c r="B315" s="11" t="n"/>
      <c r="C315" s="7" t="n"/>
      <c r="D315" s="7" t="n"/>
      <c r="E315" s="8" t="n"/>
      <c r="F315" s="12">
        <f>IF(B315="","",TEXT(B315,"mmm"))</f>
        <v/>
      </c>
    </row>
    <row r="316">
      <c r="B316" s="11" t="n"/>
      <c r="C316" s="7" t="n"/>
      <c r="D316" s="7" t="n"/>
      <c r="E316" s="8" t="n"/>
      <c r="F316" s="12">
        <f>IF(B316="","",TEXT(B316,"mmm"))</f>
        <v/>
      </c>
    </row>
    <row r="317">
      <c r="B317" s="11" t="n"/>
      <c r="C317" s="7" t="n"/>
      <c r="D317" s="7" t="n"/>
      <c r="E317" s="8" t="n"/>
      <c r="F317" s="12">
        <f>IF(B317="","",TEXT(B317,"mmm"))</f>
        <v/>
      </c>
    </row>
    <row r="318">
      <c r="B318" s="11" t="n"/>
      <c r="C318" s="7" t="n"/>
      <c r="D318" s="7" t="n"/>
      <c r="E318" s="8" t="n"/>
      <c r="F318" s="12">
        <f>IF(B318="","",TEXT(B318,"mmm"))</f>
        <v/>
      </c>
    </row>
    <row r="319">
      <c r="B319" s="11" t="n"/>
      <c r="C319" s="7" t="n"/>
      <c r="D319" s="7" t="n"/>
      <c r="E319" s="8" t="n"/>
      <c r="F319" s="12">
        <f>IF(B319="","",TEXT(B319,"mmm"))</f>
        <v/>
      </c>
    </row>
    <row r="320">
      <c r="B320" s="11" t="n"/>
      <c r="C320" s="7" t="n"/>
      <c r="D320" s="7" t="n"/>
      <c r="E320" s="8" t="n"/>
      <c r="F320" s="12">
        <f>IF(B320="","",TEXT(B320,"mmm"))</f>
        <v/>
      </c>
    </row>
    <row r="321">
      <c r="B321" s="11" t="n"/>
      <c r="C321" s="7" t="n"/>
      <c r="D321" s="7" t="n"/>
      <c r="E321" s="8" t="n"/>
      <c r="F321" s="12">
        <f>IF(B321="","",TEXT(B321,"mmm"))</f>
        <v/>
      </c>
    </row>
    <row r="322">
      <c r="B322" s="11" t="n"/>
      <c r="C322" s="7" t="n"/>
      <c r="D322" s="7" t="n"/>
      <c r="E322" s="8" t="n"/>
      <c r="F322" s="12">
        <f>IF(B322="","",TEXT(B322,"mmm"))</f>
        <v/>
      </c>
    </row>
    <row r="323">
      <c r="B323" s="11" t="n"/>
      <c r="C323" s="7" t="n"/>
      <c r="D323" s="7" t="n"/>
      <c r="E323" s="8" t="n"/>
      <c r="F323" s="12">
        <f>IF(B323="","",TEXT(B323,"mmm"))</f>
        <v/>
      </c>
    </row>
    <row r="324">
      <c r="B324" s="11" t="n"/>
      <c r="C324" s="7" t="n"/>
      <c r="D324" s="7" t="n"/>
      <c r="E324" s="8" t="n"/>
      <c r="F324" s="12">
        <f>IF(B324="","",TEXT(B324,"mmm"))</f>
        <v/>
      </c>
    </row>
    <row r="325">
      <c r="B325" s="11" t="n"/>
      <c r="C325" s="7" t="n"/>
      <c r="D325" s="7" t="n"/>
      <c r="E325" s="8" t="n"/>
      <c r="F325" s="12">
        <f>IF(B325="","",TEXT(B325,"mmm"))</f>
        <v/>
      </c>
    </row>
    <row r="326">
      <c r="B326" s="11" t="n"/>
      <c r="C326" s="7" t="n"/>
      <c r="D326" s="7" t="n"/>
      <c r="E326" s="8" t="n"/>
      <c r="F326" s="12">
        <f>IF(B326="","",TEXT(B326,"mmm"))</f>
        <v/>
      </c>
    </row>
    <row r="327">
      <c r="B327" s="11" t="n"/>
      <c r="C327" s="7" t="n"/>
      <c r="D327" s="7" t="n"/>
      <c r="E327" s="8" t="n"/>
      <c r="F327" s="12">
        <f>IF(B327="","",TEXT(B327,"mmm"))</f>
        <v/>
      </c>
    </row>
    <row r="328">
      <c r="B328" s="11" t="n"/>
      <c r="C328" s="7" t="n"/>
      <c r="D328" s="7" t="n"/>
      <c r="E328" s="8" t="n"/>
      <c r="F328" s="12">
        <f>IF(B328="","",TEXT(B328,"mmm"))</f>
        <v/>
      </c>
    </row>
    <row r="329">
      <c r="B329" s="11" t="n"/>
      <c r="C329" s="7" t="n"/>
      <c r="D329" s="7" t="n"/>
      <c r="E329" s="8" t="n"/>
      <c r="F329" s="12">
        <f>IF(B329="","",TEXT(B329,"mmm"))</f>
        <v/>
      </c>
    </row>
    <row r="330">
      <c r="B330" s="11" t="n"/>
      <c r="C330" s="7" t="n"/>
      <c r="D330" s="7" t="n"/>
      <c r="E330" s="8" t="n"/>
      <c r="F330" s="12">
        <f>IF(B330="","",TEXT(B330,"mmm"))</f>
        <v/>
      </c>
    </row>
    <row r="331">
      <c r="B331" s="11" t="n"/>
      <c r="C331" s="7" t="n"/>
      <c r="D331" s="7" t="n"/>
      <c r="E331" s="8" t="n"/>
      <c r="F331" s="12">
        <f>IF(B331="","",TEXT(B331,"mmm"))</f>
        <v/>
      </c>
    </row>
    <row r="332">
      <c r="B332" s="11" t="n"/>
      <c r="C332" s="7" t="n"/>
      <c r="D332" s="7" t="n"/>
      <c r="E332" s="8" t="n"/>
      <c r="F332" s="12">
        <f>IF(B332="","",TEXT(B332,"mmm"))</f>
        <v/>
      </c>
    </row>
    <row r="333">
      <c r="B333" s="11" t="n"/>
      <c r="C333" s="7" t="n"/>
      <c r="D333" s="7" t="n"/>
      <c r="E333" s="8" t="n"/>
      <c r="F333" s="12">
        <f>IF(B333="","",TEXT(B333,"mmm"))</f>
        <v/>
      </c>
    </row>
    <row r="334">
      <c r="B334" s="11" t="n"/>
      <c r="C334" s="7" t="n"/>
      <c r="D334" s="7" t="n"/>
      <c r="E334" s="8" t="n"/>
      <c r="F334" s="12">
        <f>IF(B334="","",TEXT(B334,"mmm"))</f>
        <v/>
      </c>
    </row>
    <row r="335">
      <c r="B335" s="11" t="n"/>
      <c r="C335" s="7" t="n"/>
      <c r="D335" s="7" t="n"/>
      <c r="E335" s="8" t="n"/>
      <c r="F335" s="12">
        <f>IF(B335="","",TEXT(B335,"mmm"))</f>
        <v/>
      </c>
    </row>
    <row r="336">
      <c r="B336" s="11" t="n"/>
      <c r="C336" s="7" t="n"/>
      <c r="D336" s="7" t="n"/>
      <c r="E336" s="8" t="n"/>
      <c r="F336" s="12">
        <f>IF(B336="","",TEXT(B336,"mmm"))</f>
        <v/>
      </c>
    </row>
    <row r="337">
      <c r="B337" s="11" t="n"/>
      <c r="C337" s="7" t="n"/>
      <c r="D337" s="7" t="n"/>
      <c r="E337" s="8" t="n"/>
      <c r="F337" s="12">
        <f>IF(B337="","",TEXT(B337,"mmm"))</f>
        <v/>
      </c>
    </row>
    <row r="338">
      <c r="B338" s="11" t="n"/>
      <c r="C338" s="7" t="n"/>
      <c r="D338" s="7" t="n"/>
      <c r="E338" s="8" t="n"/>
      <c r="F338" s="12">
        <f>IF(B338="","",TEXT(B338,"mmm"))</f>
        <v/>
      </c>
    </row>
    <row r="339">
      <c r="B339" s="11" t="n"/>
      <c r="C339" s="7" t="n"/>
      <c r="D339" s="7" t="n"/>
      <c r="E339" s="8" t="n"/>
      <c r="F339" s="12">
        <f>IF(B339="","",TEXT(B339,"mmm"))</f>
        <v/>
      </c>
    </row>
    <row r="340">
      <c r="B340" s="11" t="n"/>
      <c r="C340" s="7" t="n"/>
      <c r="D340" s="7" t="n"/>
      <c r="E340" s="8" t="n"/>
      <c r="F340" s="12">
        <f>IF(B340="","",TEXT(B340,"mmm"))</f>
        <v/>
      </c>
    </row>
    <row r="341">
      <c r="B341" s="11" t="n"/>
      <c r="C341" s="7" t="n"/>
      <c r="D341" s="7" t="n"/>
      <c r="E341" s="8" t="n"/>
      <c r="F341" s="12">
        <f>IF(B341="","",TEXT(B341,"mmm"))</f>
        <v/>
      </c>
    </row>
    <row r="342">
      <c r="B342" s="11" t="n"/>
      <c r="C342" s="7" t="n"/>
      <c r="D342" s="7" t="n"/>
      <c r="E342" s="8" t="n"/>
      <c r="F342" s="12">
        <f>IF(B342="","",TEXT(B342,"mmm"))</f>
        <v/>
      </c>
    </row>
    <row r="343">
      <c r="B343" s="11" t="n"/>
      <c r="C343" s="7" t="n"/>
      <c r="D343" s="7" t="n"/>
      <c r="E343" s="8" t="n"/>
      <c r="F343" s="12">
        <f>IF(B343="","",TEXT(B343,"mmm"))</f>
        <v/>
      </c>
    </row>
    <row r="344">
      <c r="B344" s="11" t="n"/>
      <c r="C344" s="7" t="n"/>
      <c r="D344" s="7" t="n"/>
      <c r="E344" s="8" t="n"/>
      <c r="F344" s="12">
        <f>IF(B344="","",TEXT(B344,"mmm"))</f>
        <v/>
      </c>
    </row>
    <row r="345">
      <c r="B345" s="11" t="n"/>
      <c r="C345" s="7" t="n"/>
      <c r="D345" s="7" t="n"/>
      <c r="E345" s="8" t="n"/>
      <c r="F345" s="12">
        <f>IF(B345="","",TEXT(B345,"mmm"))</f>
        <v/>
      </c>
    </row>
    <row r="346">
      <c r="B346" s="11" t="n"/>
      <c r="C346" s="7" t="n"/>
      <c r="D346" s="7" t="n"/>
      <c r="E346" s="8" t="n"/>
      <c r="F346" s="12">
        <f>IF(B346="","",TEXT(B346,"mmm"))</f>
        <v/>
      </c>
    </row>
    <row r="347">
      <c r="B347" s="11" t="n"/>
      <c r="C347" s="7" t="n"/>
      <c r="D347" s="7" t="n"/>
      <c r="E347" s="8" t="n"/>
      <c r="F347" s="12">
        <f>IF(B347="","",TEXT(B347,"mmm"))</f>
        <v/>
      </c>
    </row>
    <row r="348">
      <c r="B348" s="11" t="n"/>
      <c r="C348" s="7" t="n"/>
      <c r="D348" s="7" t="n"/>
      <c r="E348" s="8" t="n"/>
      <c r="F348" s="12">
        <f>IF(B348="","",TEXT(B348,"mmm"))</f>
        <v/>
      </c>
    </row>
    <row r="349">
      <c r="B349" s="11" t="n"/>
      <c r="C349" s="7" t="n"/>
      <c r="D349" s="7" t="n"/>
      <c r="E349" s="8" t="n"/>
      <c r="F349" s="12">
        <f>IF(B349="","",TEXT(B349,"mmm"))</f>
        <v/>
      </c>
    </row>
    <row r="350">
      <c r="B350" s="11" t="n"/>
      <c r="C350" s="7" t="n"/>
      <c r="D350" s="7" t="n"/>
      <c r="E350" s="8" t="n"/>
      <c r="F350" s="12">
        <f>IF(B350="","",TEXT(B350,"mmm"))</f>
        <v/>
      </c>
    </row>
    <row r="351">
      <c r="B351" s="11" t="n"/>
      <c r="C351" s="7" t="n"/>
      <c r="D351" s="7" t="n"/>
      <c r="E351" s="8" t="n"/>
      <c r="F351" s="12">
        <f>IF(B351="","",TEXT(B351,"mmm"))</f>
        <v/>
      </c>
    </row>
    <row r="352">
      <c r="B352" s="11" t="n"/>
      <c r="C352" s="7" t="n"/>
      <c r="D352" s="7" t="n"/>
      <c r="E352" s="8" t="n"/>
      <c r="F352" s="12">
        <f>IF(B352="","",TEXT(B352,"mmm"))</f>
        <v/>
      </c>
    </row>
    <row r="353">
      <c r="B353" s="11" t="n"/>
      <c r="C353" s="7" t="n"/>
      <c r="D353" s="7" t="n"/>
      <c r="E353" s="8" t="n"/>
      <c r="F353" s="12">
        <f>IF(B353="","",TEXT(B353,"mmm"))</f>
        <v/>
      </c>
    </row>
    <row r="354">
      <c r="B354" s="11" t="n"/>
      <c r="C354" s="7" t="n"/>
      <c r="D354" s="7" t="n"/>
      <c r="E354" s="8" t="n"/>
      <c r="F354" s="12">
        <f>IF(B354="","",TEXT(B354,"mmm"))</f>
        <v/>
      </c>
    </row>
    <row r="355">
      <c r="B355" s="11" t="n"/>
      <c r="C355" s="7" t="n"/>
      <c r="D355" s="7" t="n"/>
      <c r="E355" s="8" t="n"/>
      <c r="F355" s="12">
        <f>IF(B355="","",TEXT(B355,"mmm"))</f>
        <v/>
      </c>
    </row>
    <row r="356">
      <c r="B356" s="11" t="n"/>
      <c r="C356" s="7" t="n"/>
      <c r="D356" s="7" t="n"/>
      <c r="E356" s="8" t="n"/>
      <c r="F356" s="12">
        <f>IF(B356="","",TEXT(B356,"mmm"))</f>
        <v/>
      </c>
    </row>
    <row r="357">
      <c r="B357" s="11" t="n"/>
      <c r="C357" s="7" t="n"/>
      <c r="D357" s="7" t="n"/>
      <c r="E357" s="8" t="n"/>
      <c r="F357" s="12">
        <f>IF(B357="","",TEXT(B357,"mmm"))</f>
        <v/>
      </c>
    </row>
    <row r="358">
      <c r="B358" s="11" t="n"/>
      <c r="C358" s="7" t="n"/>
      <c r="D358" s="7" t="n"/>
      <c r="E358" s="8" t="n"/>
      <c r="F358" s="12">
        <f>IF(B358="","",TEXT(B358,"mmm"))</f>
        <v/>
      </c>
    </row>
    <row r="359">
      <c r="B359" s="11" t="n"/>
      <c r="C359" s="7" t="n"/>
      <c r="D359" s="7" t="n"/>
      <c r="E359" s="8" t="n"/>
      <c r="F359" s="12">
        <f>IF(B359="","",TEXT(B359,"mmm"))</f>
        <v/>
      </c>
    </row>
    <row r="360">
      <c r="B360" s="11" t="n"/>
      <c r="C360" s="7" t="n"/>
      <c r="D360" s="7" t="n"/>
      <c r="E360" s="8" t="n"/>
      <c r="F360" s="12">
        <f>IF(B360="","",TEXT(B360,"mmm"))</f>
        <v/>
      </c>
    </row>
    <row r="361">
      <c r="B361" s="11" t="n"/>
      <c r="C361" s="7" t="n"/>
      <c r="D361" s="7" t="n"/>
      <c r="E361" s="8" t="n"/>
      <c r="F361" s="12">
        <f>IF(B361="","",TEXT(B361,"mmm"))</f>
        <v/>
      </c>
    </row>
    <row r="362">
      <c r="B362" s="11" t="n"/>
      <c r="C362" s="7" t="n"/>
      <c r="D362" s="7" t="n"/>
      <c r="E362" s="8" t="n"/>
      <c r="F362" s="12">
        <f>IF(B362="","",TEXT(B362,"mmm"))</f>
        <v/>
      </c>
    </row>
    <row r="363">
      <c r="B363" s="11" t="n"/>
      <c r="C363" s="7" t="n"/>
      <c r="D363" s="7" t="n"/>
      <c r="E363" s="8" t="n"/>
      <c r="F363" s="12">
        <f>IF(B363="","",TEXT(B363,"mmm"))</f>
        <v/>
      </c>
    </row>
    <row r="364">
      <c r="B364" s="11" t="n"/>
      <c r="C364" s="7" t="n"/>
      <c r="D364" s="7" t="n"/>
      <c r="E364" s="8" t="n"/>
      <c r="F364" s="12">
        <f>IF(B364="","",TEXT(B364,"mmm"))</f>
        <v/>
      </c>
    </row>
    <row r="365">
      <c r="B365" s="11" t="n"/>
      <c r="C365" s="7" t="n"/>
      <c r="D365" s="7" t="n"/>
      <c r="E365" s="8" t="n"/>
      <c r="F365" s="12">
        <f>IF(B365="","",TEXT(B365,"mmm"))</f>
        <v/>
      </c>
    </row>
    <row r="366">
      <c r="B366" s="11" t="n"/>
      <c r="C366" s="7" t="n"/>
      <c r="D366" s="7" t="n"/>
      <c r="E366" s="8" t="n"/>
      <c r="F366" s="12">
        <f>IF(B366="","",TEXT(B366,"mmm"))</f>
        <v/>
      </c>
    </row>
    <row r="367">
      <c r="B367" s="11" t="n"/>
      <c r="C367" s="7" t="n"/>
      <c r="D367" s="7" t="n"/>
      <c r="E367" s="8" t="n"/>
      <c r="F367" s="12">
        <f>IF(B367="","",TEXT(B367,"mmm"))</f>
        <v/>
      </c>
    </row>
    <row r="368">
      <c r="B368" s="11" t="n"/>
      <c r="C368" s="7" t="n"/>
      <c r="D368" s="7" t="n"/>
      <c r="E368" s="8" t="n"/>
      <c r="F368" s="12">
        <f>IF(B368="","",TEXT(B368,"mmm"))</f>
        <v/>
      </c>
    </row>
    <row r="369">
      <c r="B369" s="11" t="n"/>
      <c r="C369" s="7" t="n"/>
      <c r="D369" s="7" t="n"/>
      <c r="E369" s="8" t="n"/>
      <c r="F369" s="12">
        <f>IF(B369="","",TEXT(B369,"mmm"))</f>
        <v/>
      </c>
    </row>
    <row r="370">
      <c r="B370" s="11" t="n"/>
      <c r="C370" s="7" t="n"/>
      <c r="D370" s="7" t="n"/>
      <c r="E370" s="8" t="n"/>
      <c r="F370" s="12">
        <f>IF(B370="","",TEXT(B370,"mmm"))</f>
        <v/>
      </c>
    </row>
    <row r="371">
      <c r="B371" s="11" t="n"/>
      <c r="C371" s="7" t="n"/>
      <c r="D371" s="7" t="n"/>
      <c r="E371" s="8" t="n"/>
      <c r="F371" s="12">
        <f>IF(B371="","",TEXT(B371,"mmm"))</f>
        <v/>
      </c>
    </row>
    <row r="372">
      <c r="B372" s="11" t="n"/>
      <c r="C372" s="7" t="n"/>
      <c r="D372" s="7" t="n"/>
      <c r="E372" s="8" t="n"/>
      <c r="F372" s="12">
        <f>IF(B372="","",TEXT(B372,"mmm"))</f>
        <v/>
      </c>
    </row>
    <row r="373">
      <c r="B373" s="11" t="n"/>
      <c r="C373" s="7" t="n"/>
      <c r="D373" s="7" t="n"/>
      <c r="E373" s="8" t="n"/>
      <c r="F373" s="12">
        <f>IF(B373="","",TEXT(B373,"mmm"))</f>
        <v/>
      </c>
    </row>
    <row r="374">
      <c r="B374" s="11" t="n"/>
      <c r="C374" s="7" t="n"/>
      <c r="D374" s="7" t="n"/>
      <c r="E374" s="8" t="n"/>
      <c r="F374" s="12">
        <f>IF(B374="","",TEXT(B374,"mmm"))</f>
        <v/>
      </c>
    </row>
    <row r="375">
      <c r="B375" s="11" t="n"/>
      <c r="C375" s="7" t="n"/>
      <c r="D375" s="7" t="n"/>
      <c r="E375" s="8" t="n"/>
      <c r="F375" s="12">
        <f>IF(B375="","",TEXT(B375,"mmm"))</f>
        <v/>
      </c>
    </row>
    <row r="376">
      <c r="B376" s="11" t="n"/>
      <c r="C376" s="7" t="n"/>
      <c r="D376" s="7" t="n"/>
      <c r="E376" s="8" t="n"/>
      <c r="F376" s="12">
        <f>IF(B376="","",TEXT(B376,"mmm"))</f>
        <v/>
      </c>
    </row>
    <row r="377">
      <c r="B377" s="11" t="n"/>
      <c r="C377" s="7" t="n"/>
      <c r="D377" s="7" t="n"/>
      <c r="E377" s="8" t="n"/>
      <c r="F377" s="12">
        <f>IF(B377="","",TEXT(B377,"mmm"))</f>
        <v/>
      </c>
    </row>
    <row r="378">
      <c r="B378" s="11" t="n"/>
      <c r="C378" s="7" t="n"/>
      <c r="D378" s="7" t="n"/>
      <c r="E378" s="8" t="n"/>
      <c r="F378" s="12">
        <f>IF(B378="","",TEXT(B378,"mmm"))</f>
        <v/>
      </c>
    </row>
    <row r="379">
      <c r="B379" s="11" t="n"/>
      <c r="C379" s="7" t="n"/>
      <c r="D379" s="7" t="n"/>
      <c r="E379" s="8" t="n"/>
      <c r="F379" s="12">
        <f>IF(B379="","",TEXT(B379,"mmm"))</f>
        <v/>
      </c>
    </row>
    <row r="380">
      <c r="B380" s="11" t="n"/>
      <c r="C380" s="7" t="n"/>
      <c r="D380" s="7" t="n"/>
      <c r="E380" s="8" t="n"/>
      <c r="F380" s="12">
        <f>IF(B380="","",TEXT(B380,"mmm"))</f>
        <v/>
      </c>
    </row>
    <row r="381">
      <c r="B381" s="11" t="n"/>
      <c r="C381" s="7" t="n"/>
      <c r="D381" s="7" t="n"/>
      <c r="E381" s="8" t="n"/>
      <c r="F381" s="12">
        <f>IF(B381="","",TEXT(B381,"mmm"))</f>
        <v/>
      </c>
    </row>
    <row r="382">
      <c r="B382" s="11" t="n"/>
      <c r="C382" s="7" t="n"/>
      <c r="D382" s="7" t="n"/>
      <c r="E382" s="8" t="n"/>
      <c r="F382" s="12">
        <f>IF(B382="","",TEXT(B382,"mmm"))</f>
        <v/>
      </c>
    </row>
    <row r="383">
      <c r="B383" s="11" t="n"/>
      <c r="C383" s="7" t="n"/>
      <c r="D383" s="7" t="n"/>
      <c r="E383" s="8" t="n"/>
      <c r="F383" s="12">
        <f>IF(B383="","",TEXT(B383,"mmm"))</f>
        <v/>
      </c>
    </row>
    <row r="384">
      <c r="B384" s="11" t="n"/>
      <c r="C384" s="7" t="n"/>
      <c r="D384" s="7" t="n"/>
      <c r="E384" s="8" t="n"/>
      <c r="F384" s="12">
        <f>IF(B384="","",TEXT(B384,"mmm"))</f>
        <v/>
      </c>
    </row>
    <row r="385">
      <c r="B385" s="11" t="n"/>
      <c r="C385" s="7" t="n"/>
      <c r="D385" s="7" t="n"/>
      <c r="E385" s="8" t="n"/>
      <c r="F385" s="12">
        <f>IF(B385="","",TEXT(B385,"mmm"))</f>
        <v/>
      </c>
    </row>
    <row r="386">
      <c r="B386" s="11" t="n"/>
      <c r="C386" s="7" t="n"/>
      <c r="D386" s="7" t="n"/>
      <c r="E386" s="8" t="n"/>
      <c r="F386" s="12">
        <f>IF(B386="","",TEXT(B386,"mmm"))</f>
        <v/>
      </c>
    </row>
    <row r="387">
      <c r="B387" s="11" t="n"/>
      <c r="C387" s="7" t="n"/>
      <c r="D387" s="7" t="n"/>
      <c r="E387" s="8" t="n"/>
      <c r="F387" s="12">
        <f>IF(B387="","",TEXT(B387,"mmm"))</f>
        <v/>
      </c>
    </row>
    <row r="388">
      <c r="B388" s="11" t="n"/>
      <c r="C388" s="7" t="n"/>
      <c r="D388" s="7" t="n"/>
      <c r="E388" s="8" t="n"/>
      <c r="F388" s="12">
        <f>IF(B388="","",TEXT(B388,"mmm"))</f>
        <v/>
      </c>
    </row>
    <row r="389">
      <c r="B389" s="11" t="n"/>
      <c r="C389" s="7" t="n"/>
      <c r="D389" s="7" t="n"/>
      <c r="E389" s="8" t="n"/>
      <c r="F389" s="12">
        <f>IF(B389="","",TEXT(B389,"mmm"))</f>
        <v/>
      </c>
    </row>
    <row r="390">
      <c r="B390" s="11" t="n"/>
      <c r="C390" s="7" t="n"/>
      <c r="D390" s="7" t="n"/>
      <c r="E390" s="8" t="n"/>
      <c r="F390" s="12">
        <f>IF(B390="","",TEXT(B390,"mmm"))</f>
        <v/>
      </c>
    </row>
    <row r="391">
      <c r="B391" s="11" t="n"/>
      <c r="C391" s="7" t="n"/>
      <c r="D391" s="7" t="n"/>
      <c r="E391" s="8" t="n"/>
      <c r="F391" s="12">
        <f>IF(B391="","",TEXT(B391,"mmm"))</f>
        <v/>
      </c>
    </row>
    <row r="392">
      <c r="B392" s="11" t="n"/>
      <c r="C392" s="7" t="n"/>
      <c r="D392" s="7" t="n"/>
      <c r="E392" s="8" t="n"/>
      <c r="F392" s="12">
        <f>IF(B392="","",TEXT(B392,"mmm"))</f>
        <v/>
      </c>
    </row>
    <row r="393">
      <c r="B393" s="11" t="n"/>
      <c r="C393" s="7" t="n"/>
      <c r="D393" s="7" t="n"/>
      <c r="E393" s="8" t="n"/>
      <c r="F393" s="12">
        <f>IF(B393="","",TEXT(B393,"mmm"))</f>
        <v/>
      </c>
    </row>
    <row r="394">
      <c r="B394" s="11" t="n"/>
      <c r="C394" s="7" t="n"/>
      <c r="D394" s="7" t="n"/>
      <c r="E394" s="8" t="n"/>
      <c r="F394" s="12">
        <f>IF(B394="","",TEXT(B394,"mmm"))</f>
        <v/>
      </c>
    </row>
    <row r="395">
      <c r="B395" s="11" t="n"/>
      <c r="C395" s="7" t="n"/>
      <c r="D395" s="7" t="n"/>
      <c r="E395" s="8" t="n"/>
      <c r="F395" s="12">
        <f>IF(B395="","",TEXT(B395,"mmm"))</f>
        <v/>
      </c>
    </row>
    <row r="396">
      <c r="B396" s="11" t="n"/>
      <c r="C396" s="7" t="n"/>
      <c r="D396" s="7" t="n"/>
      <c r="E396" s="8" t="n"/>
      <c r="F396" s="12">
        <f>IF(B396="","",TEXT(B396,"mmm"))</f>
        <v/>
      </c>
    </row>
    <row r="397">
      <c r="B397" s="11" t="n"/>
      <c r="C397" s="7" t="n"/>
      <c r="D397" s="7" t="n"/>
      <c r="E397" s="8" t="n"/>
      <c r="F397" s="12">
        <f>IF(B397="","",TEXT(B397,"mmm"))</f>
        <v/>
      </c>
    </row>
    <row r="398">
      <c r="B398" s="11" t="n"/>
      <c r="C398" s="7" t="n"/>
      <c r="D398" s="7" t="n"/>
      <c r="E398" s="8" t="n"/>
      <c r="F398" s="12">
        <f>IF(B398="","",TEXT(B398,"mmm"))</f>
        <v/>
      </c>
    </row>
    <row r="399">
      <c r="B399" s="11" t="n"/>
      <c r="C399" s="7" t="n"/>
      <c r="D399" s="7" t="n"/>
      <c r="E399" s="8" t="n"/>
      <c r="F399" s="12">
        <f>IF(B399="","",TEXT(B399,"mmm"))</f>
        <v/>
      </c>
    </row>
    <row r="400">
      <c r="B400" s="11" t="n"/>
      <c r="C400" s="7" t="n"/>
      <c r="D400" s="7" t="n"/>
      <c r="E400" s="8" t="n"/>
      <c r="F400" s="12">
        <f>IF(B400="","",TEXT(B400,"mmm"))</f>
        <v/>
      </c>
    </row>
    <row r="401">
      <c r="B401" s="11" t="n"/>
      <c r="C401" s="7" t="n"/>
      <c r="D401" s="7" t="n"/>
      <c r="E401" s="8" t="n"/>
      <c r="F401" s="12">
        <f>IF(B401="","",TEXT(B401,"mmm"))</f>
        <v/>
      </c>
    </row>
    <row r="402">
      <c r="B402" s="11" t="n"/>
      <c r="C402" s="7" t="n"/>
      <c r="D402" s="7" t="n"/>
      <c r="E402" s="8" t="n"/>
      <c r="F402" s="12">
        <f>IF(B402="","",TEXT(B402,"mmm"))</f>
        <v/>
      </c>
    </row>
    <row r="403">
      <c r="B403" s="11" t="n"/>
      <c r="C403" s="7" t="n"/>
      <c r="D403" s="7" t="n"/>
      <c r="E403" s="8" t="n"/>
      <c r="F403" s="12">
        <f>IF(B403="","",TEXT(B403,"mmm"))</f>
        <v/>
      </c>
    </row>
    <row r="404">
      <c r="B404" s="11" t="n"/>
      <c r="C404" s="7" t="n"/>
      <c r="D404" s="7" t="n"/>
      <c r="E404" s="8" t="n"/>
      <c r="F404" s="12">
        <f>IF(B404="","",TEXT(B404,"mmm"))</f>
        <v/>
      </c>
    </row>
    <row r="405">
      <c r="B405" s="11" t="n"/>
      <c r="C405" s="7" t="n"/>
      <c r="D405" s="7" t="n"/>
      <c r="E405" s="8" t="n"/>
      <c r="F405" s="12">
        <f>IF(B405="","",TEXT(B405,"mmm"))</f>
        <v/>
      </c>
    </row>
    <row r="406">
      <c r="B406" s="11" t="n"/>
      <c r="C406" s="7" t="n"/>
      <c r="D406" s="7" t="n"/>
      <c r="E406" s="8" t="n"/>
      <c r="F406" s="12">
        <f>IF(B406="","",TEXT(B406,"mmm"))</f>
        <v/>
      </c>
    </row>
    <row r="407">
      <c r="B407" s="11" t="n"/>
      <c r="C407" s="7" t="n"/>
      <c r="D407" s="7" t="n"/>
      <c r="E407" s="8" t="n"/>
      <c r="F407" s="12">
        <f>IF(B407="","",TEXT(B407,"mmm"))</f>
        <v/>
      </c>
    </row>
    <row r="408">
      <c r="B408" s="11" t="n"/>
      <c r="C408" s="7" t="n"/>
      <c r="D408" s="7" t="n"/>
      <c r="E408" s="8" t="n"/>
      <c r="F408" s="12">
        <f>IF(B408="","",TEXT(B408,"mmm"))</f>
        <v/>
      </c>
    </row>
    <row r="409">
      <c r="B409" s="11" t="n"/>
      <c r="C409" s="7" t="n"/>
      <c r="D409" s="7" t="n"/>
      <c r="E409" s="8" t="n"/>
      <c r="F409" s="12">
        <f>IF(B409="","",TEXT(B409,"mmm"))</f>
        <v/>
      </c>
    </row>
    <row r="410">
      <c r="B410" s="11" t="n"/>
      <c r="C410" s="7" t="n"/>
      <c r="D410" s="7" t="n"/>
      <c r="E410" s="8" t="n"/>
      <c r="F410" s="12">
        <f>IF(B410="","",TEXT(B410,"mmm"))</f>
        <v/>
      </c>
    </row>
    <row r="411">
      <c r="B411" s="11" t="n"/>
      <c r="C411" s="7" t="n"/>
      <c r="D411" s="7" t="n"/>
      <c r="E411" s="8" t="n"/>
      <c r="F411" s="12">
        <f>IF(B411="","",TEXT(B411,"mmm"))</f>
        <v/>
      </c>
    </row>
    <row r="412">
      <c r="B412" s="11" t="n"/>
      <c r="C412" s="7" t="n"/>
      <c r="D412" s="7" t="n"/>
      <c r="E412" s="8" t="n"/>
      <c r="F412" s="12">
        <f>IF(B412="","",TEXT(B412,"mmm"))</f>
        <v/>
      </c>
    </row>
    <row r="413">
      <c r="B413" s="11" t="n"/>
      <c r="C413" s="7" t="n"/>
      <c r="D413" s="7" t="n"/>
      <c r="E413" s="8" t="n"/>
      <c r="F413" s="12">
        <f>IF(B413="","",TEXT(B413,"mmm"))</f>
        <v/>
      </c>
    </row>
    <row r="414">
      <c r="B414" s="11" t="n"/>
      <c r="C414" s="7" t="n"/>
      <c r="D414" s="7" t="n"/>
      <c r="E414" s="8" t="n"/>
      <c r="F414" s="12">
        <f>IF(B414="","",TEXT(B414,"mmm"))</f>
        <v/>
      </c>
    </row>
    <row r="415">
      <c r="B415" s="11" t="n"/>
      <c r="C415" s="7" t="n"/>
      <c r="D415" s="7" t="n"/>
      <c r="E415" s="8" t="n"/>
      <c r="F415" s="12">
        <f>IF(B415="","",TEXT(B415,"mmm"))</f>
        <v/>
      </c>
    </row>
    <row r="416">
      <c r="B416" s="11" t="n"/>
      <c r="C416" s="7" t="n"/>
      <c r="D416" s="7" t="n"/>
      <c r="E416" s="8" t="n"/>
      <c r="F416" s="12">
        <f>IF(B416="","",TEXT(B416,"mmm"))</f>
        <v/>
      </c>
    </row>
    <row r="417">
      <c r="B417" s="11" t="n"/>
      <c r="C417" s="7" t="n"/>
      <c r="D417" s="7" t="n"/>
      <c r="E417" s="8" t="n"/>
      <c r="F417" s="12">
        <f>IF(B417="","",TEXT(B417,"mmm"))</f>
        <v/>
      </c>
    </row>
    <row r="418">
      <c r="B418" s="11" t="n"/>
      <c r="C418" s="7" t="n"/>
      <c r="D418" s="7" t="n"/>
      <c r="E418" s="8" t="n"/>
      <c r="F418" s="12">
        <f>IF(B418="","",TEXT(B418,"mmm"))</f>
        <v/>
      </c>
    </row>
    <row r="419">
      <c r="B419" s="11" t="n"/>
      <c r="C419" s="7" t="n"/>
      <c r="D419" s="7" t="n"/>
      <c r="E419" s="8" t="n"/>
      <c r="F419" s="12">
        <f>IF(B419="","",TEXT(B419,"mmm"))</f>
        <v/>
      </c>
    </row>
    <row r="420">
      <c r="B420" s="11" t="n"/>
      <c r="C420" s="7" t="n"/>
      <c r="D420" s="7" t="n"/>
      <c r="E420" s="8" t="n"/>
      <c r="F420" s="12">
        <f>IF(B420="","",TEXT(B420,"mmm"))</f>
        <v/>
      </c>
    </row>
    <row r="421">
      <c r="B421" s="11" t="n"/>
      <c r="C421" s="7" t="n"/>
      <c r="D421" s="7" t="n"/>
      <c r="E421" s="8" t="n"/>
      <c r="F421" s="12">
        <f>IF(B421="","",TEXT(B421,"mmm"))</f>
        <v/>
      </c>
    </row>
    <row r="422">
      <c r="B422" s="11" t="n"/>
      <c r="C422" s="7" t="n"/>
      <c r="D422" s="7" t="n"/>
      <c r="E422" s="8" t="n"/>
      <c r="F422" s="12">
        <f>IF(B422="","",TEXT(B422,"mmm"))</f>
        <v/>
      </c>
    </row>
    <row r="423">
      <c r="B423" s="11" t="n"/>
      <c r="C423" s="7" t="n"/>
      <c r="D423" s="7" t="n"/>
      <c r="E423" s="8" t="n"/>
      <c r="F423" s="12">
        <f>IF(B423="","",TEXT(B423,"mmm"))</f>
        <v/>
      </c>
    </row>
    <row r="424">
      <c r="B424" s="11" t="n"/>
      <c r="C424" s="7" t="n"/>
      <c r="D424" s="7" t="n"/>
      <c r="E424" s="8" t="n"/>
      <c r="F424" s="12">
        <f>IF(B424="","",TEXT(B424,"mmm"))</f>
        <v/>
      </c>
    </row>
    <row r="425">
      <c r="B425" s="11" t="n"/>
      <c r="C425" s="7" t="n"/>
      <c r="D425" s="7" t="n"/>
      <c r="E425" s="8" t="n"/>
      <c r="F425" s="12">
        <f>IF(B425="","",TEXT(B425,"mmm"))</f>
        <v/>
      </c>
    </row>
    <row r="426">
      <c r="B426" s="11" t="n"/>
      <c r="C426" s="7" t="n"/>
      <c r="D426" s="7" t="n"/>
      <c r="E426" s="8" t="n"/>
      <c r="F426" s="12">
        <f>IF(B426="","",TEXT(B426,"mmm"))</f>
        <v/>
      </c>
    </row>
    <row r="427">
      <c r="B427" s="11" t="n"/>
      <c r="C427" s="7" t="n"/>
      <c r="D427" s="7" t="n"/>
      <c r="E427" s="8" t="n"/>
      <c r="F427" s="12">
        <f>IF(B427="","",TEXT(B427,"mmm"))</f>
        <v/>
      </c>
    </row>
    <row r="428">
      <c r="B428" s="11" t="n"/>
      <c r="C428" s="7" t="n"/>
      <c r="D428" s="7" t="n"/>
      <c r="E428" s="8" t="n"/>
      <c r="F428" s="12">
        <f>IF(B428="","",TEXT(B428,"mmm"))</f>
        <v/>
      </c>
    </row>
    <row r="429">
      <c r="B429" s="11" t="n"/>
      <c r="C429" s="7" t="n"/>
      <c r="D429" s="7" t="n"/>
      <c r="E429" s="8" t="n"/>
      <c r="F429" s="12">
        <f>IF(B429="","",TEXT(B429,"mmm"))</f>
        <v/>
      </c>
    </row>
    <row r="430">
      <c r="B430" s="11" t="n"/>
      <c r="C430" s="7" t="n"/>
      <c r="D430" s="7" t="n"/>
      <c r="E430" s="8" t="n"/>
      <c r="F430" s="12">
        <f>IF(B430="","",TEXT(B430,"mmm"))</f>
        <v/>
      </c>
    </row>
    <row r="431">
      <c r="B431" s="11" t="n"/>
      <c r="C431" s="7" t="n"/>
      <c r="D431" s="7" t="n"/>
      <c r="E431" s="8" t="n"/>
      <c r="F431" s="12">
        <f>IF(B431="","",TEXT(B431,"mmm"))</f>
        <v/>
      </c>
    </row>
    <row r="432">
      <c r="B432" s="11" t="n"/>
      <c r="C432" s="7" t="n"/>
      <c r="D432" s="7" t="n"/>
      <c r="E432" s="8" t="n"/>
      <c r="F432" s="12">
        <f>IF(B432="","",TEXT(B432,"mmm"))</f>
        <v/>
      </c>
    </row>
    <row r="433">
      <c r="B433" s="11" t="n"/>
      <c r="C433" s="7" t="n"/>
      <c r="D433" s="7" t="n"/>
      <c r="E433" s="8" t="n"/>
      <c r="F433" s="12">
        <f>IF(B433="","",TEXT(B433,"mmm"))</f>
        <v/>
      </c>
    </row>
    <row r="434">
      <c r="B434" s="11" t="n"/>
      <c r="C434" s="7" t="n"/>
      <c r="D434" s="7" t="n"/>
      <c r="E434" s="8" t="n"/>
      <c r="F434" s="12">
        <f>IF(B434="","",TEXT(B434,"mmm"))</f>
        <v/>
      </c>
    </row>
    <row r="435">
      <c r="B435" s="11" t="n"/>
      <c r="C435" s="7" t="n"/>
      <c r="D435" s="7" t="n"/>
      <c r="E435" s="8" t="n"/>
      <c r="F435" s="12">
        <f>IF(B435="","",TEXT(B435,"mmm"))</f>
        <v/>
      </c>
    </row>
    <row r="436">
      <c r="B436" s="11" t="n"/>
      <c r="C436" s="7" t="n"/>
      <c r="D436" s="7" t="n"/>
      <c r="E436" s="8" t="n"/>
      <c r="F436" s="12">
        <f>IF(B436="","",TEXT(B436,"mmm"))</f>
        <v/>
      </c>
    </row>
    <row r="437">
      <c r="B437" s="11" t="n"/>
      <c r="C437" s="7" t="n"/>
      <c r="D437" s="7" t="n"/>
      <c r="E437" s="8" t="n"/>
      <c r="F437" s="12">
        <f>IF(B437="","",TEXT(B437,"mmm"))</f>
        <v/>
      </c>
    </row>
    <row r="438">
      <c r="B438" s="11" t="n"/>
      <c r="C438" s="7" t="n"/>
      <c r="D438" s="7" t="n"/>
      <c r="E438" s="8" t="n"/>
      <c r="F438" s="12">
        <f>IF(B438="","",TEXT(B438,"mmm"))</f>
        <v/>
      </c>
    </row>
    <row r="439">
      <c r="B439" s="11" t="n"/>
      <c r="C439" s="7" t="n"/>
      <c r="D439" s="7" t="n"/>
      <c r="E439" s="8" t="n"/>
      <c r="F439" s="12">
        <f>IF(B439="","",TEXT(B439,"mmm"))</f>
        <v/>
      </c>
    </row>
    <row r="440">
      <c r="B440" s="11" t="n"/>
      <c r="C440" s="7" t="n"/>
      <c r="D440" s="7" t="n"/>
      <c r="E440" s="8" t="n"/>
      <c r="F440" s="12">
        <f>IF(B440="","",TEXT(B440,"mmm"))</f>
        <v/>
      </c>
    </row>
    <row r="441">
      <c r="B441" s="11" t="n"/>
      <c r="C441" s="7" t="n"/>
      <c r="D441" s="7" t="n"/>
      <c r="E441" s="8" t="n"/>
      <c r="F441" s="12">
        <f>IF(B441="","",TEXT(B441,"mmm"))</f>
        <v/>
      </c>
    </row>
    <row r="442">
      <c r="B442" s="11" t="n"/>
      <c r="C442" s="7" t="n"/>
      <c r="D442" s="7" t="n"/>
      <c r="E442" s="8" t="n"/>
      <c r="F442" s="12">
        <f>IF(B442="","",TEXT(B442,"mmm"))</f>
        <v/>
      </c>
    </row>
    <row r="443">
      <c r="B443" s="11" t="n"/>
      <c r="C443" s="7" t="n"/>
      <c r="D443" s="7" t="n"/>
      <c r="E443" s="8" t="n"/>
      <c r="F443" s="12">
        <f>IF(B443="","",TEXT(B443,"mmm"))</f>
        <v/>
      </c>
    </row>
    <row r="444">
      <c r="B444" s="11" t="n"/>
      <c r="C444" s="7" t="n"/>
      <c r="D444" s="7" t="n"/>
      <c r="E444" s="8" t="n"/>
      <c r="F444" s="12">
        <f>IF(B444="","",TEXT(B444,"mmm"))</f>
        <v/>
      </c>
    </row>
    <row r="445">
      <c r="B445" s="11" t="n"/>
      <c r="C445" s="7" t="n"/>
      <c r="D445" s="7" t="n"/>
      <c r="E445" s="8" t="n"/>
      <c r="F445" s="12">
        <f>IF(B445="","",TEXT(B445,"mmm"))</f>
        <v/>
      </c>
    </row>
    <row r="446">
      <c r="B446" s="11" t="n"/>
      <c r="C446" s="7" t="n"/>
      <c r="D446" s="7" t="n"/>
      <c r="E446" s="8" t="n"/>
      <c r="F446" s="12">
        <f>IF(B446="","",TEXT(B446,"mmm"))</f>
        <v/>
      </c>
    </row>
    <row r="447">
      <c r="B447" s="11" t="n"/>
      <c r="C447" s="7" t="n"/>
      <c r="D447" s="7" t="n"/>
      <c r="E447" s="8" t="n"/>
      <c r="F447" s="12">
        <f>IF(B447="","",TEXT(B447,"mmm"))</f>
        <v/>
      </c>
    </row>
    <row r="448">
      <c r="B448" s="11" t="n"/>
      <c r="C448" s="7" t="n"/>
      <c r="D448" s="7" t="n"/>
      <c r="E448" s="8" t="n"/>
      <c r="F448" s="12">
        <f>IF(B448="","",TEXT(B448,"mmm"))</f>
        <v/>
      </c>
    </row>
    <row r="449">
      <c r="B449" s="11" t="n"/>
      <c r="C449" s="7" t="n"/>
      <c r="D449" s="7" t="n"/>
      <c r="E449" s="8" t="n"/>
      <c r="F449" s="12">
        <f>IF(B449="","",TEXT(B449,"mmm"))</f>
        <v/>
      </c>
    </row>
    <row r="450">
      <c r="B450" s="11" t="n"/>
      <c r="C450" s="7" t="n"/>
      <c r="D450" s="7" t="n"/>
      <c r="E450" s="8" t="n"/>
      <c r="F450" s="12">
        <f>IF(B450="","",TEXT(B450,"mmm"))</f>
        <v/>
      </c>
    </row>
    <row r="451">
      <c r="B451" s="11" t="n"/>
      <c r="C451" s="7" t="n"/>
      <c r="D451" s="7" t="n"/>
      <c r="E451" s="8" t="n"/>
      <c r="F451" s="12">
        <f>IF(B451="","",TEXT(B451,"mmm"))</f>
        <v/>
      </c>
    </row>
    <row r="452">
      <c r="B452" s="11" t="n"/>
      <c r="C452" s="7" t="n"/>
      <c r="D452" s="7" t="n"/>
      <c r="E452" s="8" t="n"/>
      <c r="F452" s="12">
        <f>IF(B452="","",TEXT(B452,"mmm"))</f>
        <v/>
      </c>
    </row>
    <row r="453">
      <c r="B453" s="11" t="n"/>
      <c r="C453" s="7" t="n"/>
      <c r="D453" s="7" t="n"/>
      <c r="E453" s="8" t="n"/>
      <c r="F453" s="12">
        <f>IF(B453="","",TEXT(B453,"mmm"))</f>
        <v/>
      </c>
    </row>
    <row r="454">
      <c r="B454" s="11" t="n"/>
      <c r="C454" s="7" t="n"/>
      <c r="D454" s="7" t="n"/>
      <c r="E454" s="8" t="n"/>
      <c r="F454" s="12">
        <f>IF(B454="","",TEXT(B454,"mmm"))</f>
        <v/>
      </c>
    </row>
    <row r="455">
      <c r="B455" s="11" t="n"/>
      <c r="C455" s="7" t="n"/>
      <c r="D455" s="7" t="n"/>
      <c r="E455" s="8" t="n"/>
      <c r="F455" s="12">
        <f>IF(B455="","",TEXT(B455,"mmm"))</f>
        <v/>
      </c>
    </row>
    <row r="456">
      <c r="B456" s="11" t="n"/>
      <c r="C456" s="7" t="n"/>
      <c r="D456" s="7" t="n"/>
      <c r="E456" s="8" t="n"/>
      <c r="F456" s="12">
        <f>IF(B456="","",TEXT(B456,"mmm"))</f>
        <v/>
      </c>
    </row>
    <row r="457">
      <c r="B457" s="11" t="n"/>
      <c r="C457" s="7" t="n"/>
      <c r="D457" s="7" t="n"/>
      <c r="E457" s="8" t="n"/>
      <c r="F457" s="12">
        <f>IF(B457="","",TEXT(B457,"mmm"))</f>
        <v/>
      </c>
    </row>
    <row r="458">
      <c r="B458" s="11" t="n"/>
      <c r="C458" s="7" t="n"/>
      <c r="D458" s="7" t="n"/>
      <c r="E458" s="8" t="n"/>
      <c r="F458" s="12">
        <f>IF(B458="","",TEXT(B458,"mmm"))</f>
        <v/>
      </c>
    </row>
    <row r="459">
      <c r="B459" s="11" t="n"/>
      <c r="C459" s="7" t="n"/>
      <c r="D459" s="7" t="n"/>
      <c r="E459" s="8" t="n"/>
      <c r="F459" s="12">
        <f>IF(B459="","",TEXT(B459,"mmm"))</f>
        <v/>
      </c>
    </row>
    <row r="460">
      <c r="B460" s="11" t="n"/>
      <c r="C460" s="7" t="n"/>
      <c r="D460" s="7" t="n"/>
      <c r="E460" s="8" t="n"/>
      <c r="F460" s="12">
        <f>IF(B460="","",TEXT(B460,"mmm"))</f>
        <v/>
      </c>
    </row>
    <row r="461">
      <c r="B461" s="11" t="n"/>
      <c r="C461" s="7" t="n"/>
      <c r="D461" s="7" t="n"/>
      <c r="E461" s="8" t="n"/>
      <c r="F461" s="12">
        <f>IF(B461="","",TEXT(B461,"mmm"))</f>
        <v/>
      </c>
    </row>
    <row r="462">
      <c r="B462" s="11" t="n"/>
      <c r="C462" s="7" t="n"/>
      <c r="D462" s="7" t="n"/>
      <c r="E462" s="8" t="n"/>
      <c r="F462" s="12">
        <f>IF(B462="","",TEXT(B462,"mmm"))</f>
        <v/>
      </c>
    </row>
    <row r="463">
      <c r="B463" s="11" t="n"/>
      <c r="C463" s="7" t="n"/>
      <c r="D463" s="7" t="n"/>
      <c r="E463" s="8" t="n"/>
      <c r="F463" s="12">
        <f>IF(B463="","",TEXT(B463,"mmm"))</f>
        <v/>
      </c>
    </row>
    <row r="464">
      <c r="B464" s="11" t="n"/>
      <c r="C464" s="7" t="n"/>
      <c r="D464" s="7" t="n"/>
      <c r="E464" s="8" t="n"/>
      <c r="F464" s="12">
        <f>IF(B464="","",TEXT(B464,"mmm"))</f>
        <v/>
      </c>
    </row>
    <row r="465">
      <c r="B465" s="11" t="n"/>
      <c r="C465" s="7" t="n"/>
      <c r="D465" s="7" t="n"/>
      <c r="E465" s="8" t="n"/>
      <c r="F465" s="12">
        <f>IF(B465="","",TEXT(B465,"mmm"))</f>
        <v/>
      </c>
    </row>
    <row r="466">
      <c r="B466" s="11" t="n"/>
      <c r="C466" s="7" t="n"/>
      <c r="D466" s="7" t="n"/>
      <c r="E466" s="8" t="n"/>
      <c r="F466" s="12">
        <f>IF(B466="","",TEXT(B466,"mmm"))</f>
        <v/>
      </c>
    </row>
    <row r="467">
      <c r="B467" s="11" t="n"/>
      <c r="C467" s="7" t="n"/>
      <c r="D467" s="7" t="n"/>
      <c r="E467" s="8" t="n"/>
      <c r="F467" s="12">
        <f>IF(B467="","",TEXT(B467,"mmm"))</f>
        <v/>
      </c>
    </row>
    <row r="468">
      <c r="B468" s="11" t="n"/>
      <c r="C468" s="7" t="n"/>
      <c r="D468" s="7" t="n"/>
      <c r="E468" s="8" t="n"/>
      <c r="F468" s="12">
        <f>IF(B468="","",TEXT(B468,"mmm"))</f>
        <v/>
      </c>
    </row>
    <row r="469">
      <c r="B469" s="11" t="n"/>
      <c r="C469" s="7" t="n"/>
      <c r="D469" s="7" t="n"/>
      <c r="E469" s="8" t="n"/>
      <c r="F469" s="12">
        <f>IF(B469="","",TEXT(B469,"mmm"))</f>
        <v/>
      </c>
    </row>
    <row r="470">
      <c r="B470" s="11" t="n"/>
      <c r="C470" s="7" t="n"/>
      <c r="D470" s="7" t="n"/>
      <c r="E470" s="8" t="n"/>
      <c r="F470" s="12">
        <f>IF(B470="","",TEXT(B470,"mmm"))</f>
        <v/>
      </c>
    </row>
    <row r="471">
      <c r="B471" s="11" t="n"/>
      <c r="C471" s="7" t="n"/>
      <c r="D471" s="7" t="n"/>
      <c r="E471" s="8" t="n"/>
      <c r="F471" s="12">
        <f>IF(B471="","",TEXT(B471,"mmm"))</f>
        <v/>
      </c>
    </row>
    <row r="472">
      <c r="B472" s="11" t="n"/>
      <c r="C472" s="7" t="n"/>
      <c r="D472" s="7" t="n"/>
      <c r="E472" s="8" t="n"/>
      <c r="F472" s="12">
        <f>IF(B472="","",TEXT(B472,"mmm"))</f>
        <v/>
      </c>
    </row>
    <row r="473">
      <c r="B473" s="11" t="n"/>
      <c r="C473" s="7" t="n"/>
      <c r="D473" s="7" t="n"/>
      <c r="E473" s="8" t="n"/>
      <c r="F473" s="12">
        <f>IF(B473="","",TEXT(B473,"mmm"))</f>
        <v/>
      </c>
    </row>
    <row r="474">
      <c r="B474" s="11" t="n"/>
      <c r="C474" s="7" t="n"/>
      <c r="D474" s="7" t="n"/>
      <c r="E474" s="8" t="n"/>
      <c r="F474" s="12">
        <f>IF(B474="","",TEXT(B474,"mmm"))</f>
        <v/>
      </c>
    </row>
    <row r="475">
      <c r="B475" s="11" t="n"/>
      <c r="C475" s="7" t="n"/>
      <c r="D475" s="7" t="n"/>
      <c r="E475" s="8" t="n"/>
      <c r="F475" s="12">
        <f>IF(B475="","",TEXT(B475,"mmm"))</f>
        <v/>
      </c>
    </row>
    <row r="476">
      <c r="B476" s="11" t="n"/>
      <c r="C476" s="7" t="n"/>
      <c r="D476" s="7" t="n"/>
      <c r="E476" s="8" t="n"/>
      <c r="F476" s="12">
        <f>IF(B476="","",TEXT(B476,"mmm"))</f>
        <v/>
      </c>
    </row>
    <row r="477">
      <c r="B477" s="11" t="n"/>
      <c r="C477" s="7" t="n"/>
      <c r="D477" s="7" t="n"/>
      <c r="E477" s="8" t="n"/>
      <c r="F477" s="12">
        <f>IF(B477="","",TEXT(B477,"mmm"))</f>
        <v/>
      </c>
    </row>
    <row r="478">
      <c r="B478" s="11" t="n"/>
      <c r="C478" s="7" t="n"/>
      <c r="D478" s="7" t="n"/>
      <c r="E478" s="8" t="n"/>
      <c r="F478" s="12">
        <f>IF(B478="","",TEXT(B478,"mmm"))</f>
        <v/>
      </c>
    </row>
    <row r="479">
      <c r="B479" s="11" t="n"/>
      <c r="C479" s="7" t="n"/>
      <c r="D479" s="7" t="n"/>
      <c r="E479" s="8" t="n"/>
      <c r="F479" s="12">
        <f>IF(B479="","",TEXT(B479,"mmm"))</f>
        <v/>
      </c>
    </row>
    <row r="480">
      <c r="B480" s="11" t="n"/>
      <c r="C480" s="7" t="n"/>
      <c r="D480" s="7" t="n"/>
      <c r="E480" s="8" t="n"/>
      <c r="F480" s="12">
        <f>IF(B480="","",TEXT(B480,"mmm"))</f>
        <v/>
      </c>
    </row>
    <row r="481">
      <c r="B481" s="11" t="n"/>
      <c r="C481" s="7" t="n"/>
      <c r="D481" s="7" t="n"/>
      <c r="E481" s="8" t="n"/>
      <c r="F481" s="12">
        <f>IF(B481="","",TEXT(B481,"mmm"))</f>
        <v/>
      </c>
    </row>
    <row r="482">
      <c r="B482" s="11" t="n"/>
      <c r="C482" s="7" t="n"/>
      <c r="D482" s="7" t="n"/>
      <c r="E482" s="8" t="n"/>
      <c r="F482" s="12">
        <f>IF(B482="","",TEXT(B482,"mmm"))</f>
        <v/>
      </c>
    </row>
    <row r="483">
      <c r="B483" s="11" t="n"/>
      <c r="C483" s="7" t="n"/>
      <c r="D483" s="7" t="n"/>
      <c r="E483" s="8" t="n"/>
      <c r="F483" s="12">
        <f>IF(B483="","",TEXT(B483,"mmm"))</f>
        <v/>
      </c>
    </row>
    <row r="484">
      <c r="B484" s="11" t="n"/>
      <c r="C484" s="7" t="n"/>
      <c r="D484" s="7" t="n"/>
      <c r="E484" s="8" t="n"/>
      <c r="F484" s="12">
        <f>IF(B484="","",TEXT(B484,"mmm"))</f>
        <v/>
      </c>
    </row>
    <row r="485">
      <c r="B485" s="11" t="n"/>
      <c r="C485" s="7" t="n"/>
      <c r="D485" s="7" t="n"/>
      <c r="E485" s="8" t="n"/>
      <c r="F485" s="12">
        <f>IF(B485="","",TEXT(B485,"mmm"))</f>
        <v/>
      </c>
    </row>
    <row r="486">
      <c r="B486" s="11" t="n"/>
      <c r="C486" s="7" t="n"/>
      <c r="D486" s="7" t="n"/>
      <c r="E486" s="8" t="n"/>
      <c r="F486" s="12">
        <f>IF(B486="","",TEXT(B486,"mmm"))</f>
        <v/>
      </c>
    </row>
    <row r="487">
      <c r="B487" s="11" t="n"/>
      <c r="C487" s="7" t="n"/>
      <c r="D487" s="7" t="n"/>
      <c r="E487" s="8" t="n"/>
      <c r="F487" s="12">
        <f>IF(B487="","",TEXT(B487,"mmm"))</f>
        <v/>
      </c>
    </row>
    <row r="488">
      <c r="B488" s="11" t="n"/>
      <c r="C488" s="7" t="n"/>
      <c r="D488" s="7" t="n"/>
      <c r="E488" s="8" t="n"/>
      <c r="F488" s="12">
        <f>IF(B488="","",TEXT(B488,"mmm"))</f>
        <v/>
      </c>
    </row>
    <row r="489">
      <c r="B489" s="11" t="n"/>
      <c r="C489" s="7" t="n"/>
      <c r="D489" s="7" t="n"/>
      <c r="E489" s="8" t="n"/>
      <c r="F489" s="12">
        <f>IF(B489="","",TEXT(B489,"mmm"))</f>
        <v/>
      </c>
    </row>
    <row r="490">
      <c r="B490" s="11" t="n"/>
      <c r="C490" s="7" t="n"/>
      <c r="D490" s="7" t="n"/>
      <c r="E490" s="8" t="n"/>
      <c r="F490" s="12">
        <f>IF(B490="","",TEXT(B490,"mmm"))</f>
        <v/>
      </c>
    </row>
    <row r="491">
      <c r="B491" s="11" t="n"/>
      <c r="C491" s="7" t="n"/>
      <c r="D491" s="7" t="n"/>
      <c r="E491" s="8" t="n"/>
      <c r="F491" s="12">
        <f>IF(B491="","",TEXT(B491,"mmm"))</f>
        <v/>
      </c>
    </row>
    <row r="492">
      <c r="B492" s="11" t="n"/>
      <c r="C492" s="7" t="n"/>
      <c r="D492" s="7" t="n"/>
      <c r="E492" s="8" t="n"/>
      <c r="F492" s="12">
        <f>IF(B492="","",TEXT(B492,"mmm"))</f>
        <v/>
      </c>
    </row>
    <row r="493">
      <c r="B493" s="11" t="n"/>
      <c r="C493" s="7" t="n"/>
      <c r="D493" s="7" t="n"/>
      <c r="E493" s="8" t="n"/>
      <c r="F493" s="12">
        <f>IF(B493="","",TEXT(B493,"mmm"))</f>
        <v/>
      </c>
    </row>
    <row r="494">
      <c r="B494" s="11" t="n"/>
      <c r="C494" s="7" t="n"/>
      <c r="D494" s="7" t="n"/>
      <c r="E494" s="8" t="n"/>
      <c r="F494" s="12">
        <f>IF(B494="","",TEXT(B494,"mmm"))</f>
        <v/>
      </c>
    </row>
    <row r="495">
      <c r="B495" s="11" t="n"/>
      <c r="C495" s="7" t="n"/>
      <c r="D495" s="7" t="n"/>
      <c r="E495" s="8" t="n"/>
      <c r="F495" s="12">
        <f>IF(B495="","",TEXT(B495,"mmm"))</f>
        <v/>
      </c>
    </row>
    <row r="496">
      <c r="B496" s="11" t="n"/>
      <c r="C496" s="7" t="n"/>
      <c r="D496" s="7" t="n"/>
      <c r="E496" s="8" t="n"/>
      <c r="F496" s="12">
        <f>IF(B496="","",TEXT(B496,"mmm"))</f>
        <v/>
      </c>
    </row>
    <row r="497">
      <c r="B497" s="11" t="n"/>
      <c r="C497" s="7" t="n"/>
      <c r="D497" s="7" t="n"/>
      <c r="E497" s="8" t="n"/>
      <c r="F497" s="12">
        <f>IF(B497="","",TEXT(B497,"mmm"))</f>
        <v/>
      </c>
    </row>
    <row r="498">
      <c r="B498" s="11" t="n"/>
      <c r="C498" s="7" t="n"/>
      <c r="D498" s="7" t="n"/>
      <c r="E498" s="8" t="n"/>
      <c r="F498" s="12">
        <f>IF(B498="","",TEXT(B498,"mmm"))</f>
        <v/>
      </c>
    </row>
    <row r="499">
      <c r="B499" s="11" t="n"/>
      <c r="C499" s="7" t="n"/>
      <c r="D499" s="7" t="n"/>
      <c r="E499" s="8" t="n"/>
      <c r="F499" s="12">
        <f>IF(B499="","",TEXT(B499,"mmm"))</f>
        <v/>
      </c>
    </row>
    <row r="500">
      <c r="B500" s="11" t="n"/>
      <c r="C500" s="7" t="n"/>
      <c r="D500" s="7" t="n"/>
      <c r="E500" s="8" t="n"/>
      <c r="F500" s="12">
        <f>IF(B500="","",TEXT(B500,"mmm"))</f>
        <v/>
      </c>
    </row>
    <row r="501">
      <c r="B501" s="11" t="n"/>
      <c r="C501" s="7" t="n"/>
      <c r="D501" s="7" t="n"/>
      <c r="E501" s="8" t="n"/>
      <c r="F501" s="12">
        <f>IF(B501="","",TEXT(B501,"mmm"))</f>
        <v/>
      </c>
    </row>
    <row r="502">
      <c r="B502" s="11" t="n"/>
      <c r="C502" s="7" t="n"/>
      <c r="D502" s="7" t="n"/>
      <c r="E502" s="8" t="n"/>
      <c r="F502" s="12">
        <f>IF(B502="","",TEXT(B502,"mmm"))</f>
        <v/>
      </c>
    </row>
    <row r="503">
      <c r="B503" s="11" t="n"/>
      <c r="C503" s="7" t="n"/>
      <c r="D503" s="7" t="n"/>
      <c r="E503" s="8" t="n"/>
      <c r="F503" s="12">
        <f>IF(B503="","",TEXT(B503,"mmm"))</f>
        <v/>
      </c>
    </row>
    <row r="504">
      <c r="B504" s="11" t="n"/>
      <c r="C504" s="7" t="n"/>
      <c r="D504" s="7" t="n"/>
      <c r="E504" s="8" t="n"/>
      <c r="F504" s="12">
        <f>IF(B504="","",TEXT(B504,"mmm"))</f>
        <v/>
      </c>
    </row>
    <row r="505">
      <c r="B505" s="11" t="n"/>
      <c r="C505" s="7" t="n"/>
      <c r="D505" s="7" t="n"/>
      <c r="E505" s="8" t="n"/>
      <c r="F505" s="12">
        <f>IF(B505="","",TEXT(B505,"mmm"))</f>
        <v/>
      </c>
    </row>
    <row r="506">
      <c r="B506" s="11" t="n"/>
      <c r="C506" s="7" t="n"/>
      <c r="D506" s="7" t="n"/>
      <c r="E506" s="8" t="n"/>
      <c r="F506" s="12">
        <f>IF(B506="","",TEXT(B506,"mmm"))</f>
        <v/>
      </c>
    </row>
    <row r="507">
      <c r="B507" s="11" t="n"/>
      <c r="C507" s="7" t="n"/>
      <c r="D507" s="7" t="n"/>
      <c r="E507" s="8" t="n"/>
      <c r="F507" s="12">
        <f>IF(B507="","",TEXT(B507,"mmm"))</f>
        <v/>
      </c>
    </row>
    <row r="508">
      <c r="B508" s="11" t="n"/>
      <c r="C508" s="7" t="n"/>
      <c r="D508" s="7" t="n"/>
      <c r="E508" s="8" t="n"/>
      <c r="F508" s="12">
        <f>IF(B508="","",TEXT(B508,"mmm"))</f>
        <v/>
      </c>
    </row>
    <row r="509">
      <c r="B509" s="11" t="n"/>
      <c r="C509" s="7" t="n"/>
      <c r="D509" s="7" t="n"/>
      <c r="E509" s="8" t="n"/>
      <c r="F509" s="12">
        <f>IF(B509="","",TEXT(B509,"mmm"))</f>
        <v/>
      </c>
    </row>
    <row r="510">
      <c r="B510" s="11" t="n"/>
      <c r="C510" s="7" t="n"/>
      <c r="D510" s="7" t="n"/>
      <c r="E510" s="8" t="n"/>
      <c r="F510" s="12">
        <f>IF(B510="","",TEXT(B510,"mmm"))</f>
        <v/>
      </c>
    </row>
    <row r="511">
      <c r="B511" s="11" t="n"/>
      <c r="C511" s="7" t="n"/>
      <c r="D511" s="7" t="n"/>
      <c r="E511" s="8" t="n"/>
      <c r="F511" s="12">
        <f>IF(B511="","",TEXT(B511,"mmm"))</f>
        <v/>
      </c>
    </row>
    <row r="512">
      <c r="B512" s="11" t="n"/>
      <c r="C512" s="7" t="n"/>
      <c r="D512" s="7" t="n"/>
      <c r="E512" s="8" t="n"/>
      <c r="F512" s="12">
        <f>IF(B512="","",TEXT(B512,"mmm"))</f>
        <v/>
      </c>
    </row>
    <row r="513">
      <c r="B513" s="11" t="n"/>
      <c r="C513" s="7" t="n"/>
      <c r="D513" s="7" t="n"/>
      <c r="E513" s="8" t="n"/>
      <c r="F513" s="12">
        <f>IF(B513="","",TEXT(B513,"mmm"))</f>
        <v/>
      </c>
    </row>
    <row r="514">
      <c r="B514" s="11" t="n"/>
      <c r="C514" s="7" t="n"/>
      <c r="D514" s="7" t="n"/>
      <c r="E514" s="8" t="n"/>
      <c r="F514" s="12">
        <f>IF(B514="","",TEXT(B514,"mmm"))</f>
        <v/>
      </c>
    </row>
    <row r="515">
      <c r="B515" s="11" t="n"/>
      <c r="C515" s="7" t="n"/>
      <c r="D515" s="7" t="n"/>
      <c r="E515" s="8" t="n"/>
      <c r="F515" s="12">
        <f>IF(B515="","",TEXT(B515,"mmm"))</f>
        <v/>
      </c>
    </row>
    <row r="516">
      <c r="B516" s="11" t="n"/>
      <c r="C516" s="7" t="n"/>
      <c r="D516" s="7" t="n"/>
      <c r="E516" s="8" t="n"/>
      <c r="F516" s="12">
        <f>IF(B516="","",TEXT(B516,"mmm"))</f>
        <v/>
      </c>
    </row>
    <row r="517">
      <c r="B517" s="11" t="n"/>
      <c r="C517" s="7" t="n"/>
      <c r="D517" s="7" t="n"/>
      <c r="E517" s="8" t="n"/>
      <c r="F517" s="12">
        <f>IF(B517="","",TEXT(B517,"mmm"))</f>
        <v/>
      </c>
    </row>
    <row r="518">
      <c r="B518" s="11" t="n"/>
      <c r="C518" s="7" t="n"/>
      <c r="D518" s="7" t="n"/>
      <c r="E518" s="8" t="n"/>
      <c r="F518" s="12">
        <f>IF(B518="","",TEXT(B518,"mmm"))</f>
        <v/>
      </c>
    </row>
    <row r="519">
      <c r="B519" s="11" t="n"/>
      <c r="C519" s="7" t="n"/>
      <c r="D519" s="7" t="n"/>
      <c r="E519" s="8" t="n"/>
      <c r="F519" s="12">
        <f>IF(B519="","",TEXT(B519,"mmm"))</f>
        <v/>
      </c>
    </row>
    <row r="520">
      <c r="B520" s="11" t="n"/>
      <c r="C520" s="7" t="n"/>
      <c r="D520" s="7" t="n"/>
      <c r="E520" s="8" t="n"/>
      <c r="F520" s="12">
        <f>IF(B520="","",TEXT(B520,"mmm"))</f>
        <v/>
      </c>
    </row>
    <row r="521">
      <c r="B521" s="11" t="n"/>
      <c r="C521" s="7" t="n"/>
      <c r="D521" s="7" t="n"/>
      <c r="E521" s="8" t="n"/>
      <c r="F521" s="12">
        <f>IF(B521="","",TEXT(B521,"mmm"))</f>
        <v/>
      </c>
    </row>
    <row r="522">
      <c r="B522" s="11" t="n"/>
      <c r="C522" s="7" t="n"/>
      <c r="D522" s="7" t="n"/>
      <c r="E522" s="8" t="n"/>
      <c r="F522" s="12">
        <f>IF(B522="","",TEXT(B522,"mmm"))</f>
        <v/>
      </c>
    </row>
    <row r="523">
      <c r="B523" s="11" t="n"/>
      <c r="C523" s="7" t="n"/>
      <c r="D523" s="7" t="n"/>
      <c r="E523" s="8" t="n"/>
      <c r="F523" s="12">
        <f>IF(B523="","",TEXT(B523,"mmm"))</f>
        <v/>
      </c>
    </row>
    <row r="524">
      <c r="B524" s="11" t="n"/>
      <c r="C524" s="7" t="n"/>
      <c r="D524" s="7" t="n"/>
      <c r="E524" s="8" t="n"/>
      <c r="F524" s="12">
        <f>IF(B524="","",TEXT(B524,"mmm"))</f>
        <v/>
      </c>
    </row>
    <row r="525">
      <c r="B525" s="11" t="n"/>
      <c r="C525" s="7" t="n"/>
      <c r="D525" s="7" t="n"/>
      <c r="E525" s="8" t="n"/>
      <c r="F525" s="12">
        <f>IF(B525="","",TEXT(B525,"mmm"))</f>
        <v/>
      </c>
    </row>
    <row r="526">
      <c r="B526" s="11" t="n"/>
      <c r="C526" s="7" t="n"/>
      <c r="D526" s="7" t="n"/>
      <c r="E526" s="8" t="n"/>
      <c r="F526" s="12">
        <f>IF(B526="","",TEXT(B526,"mmm"))</f>
        <v/>
      </c>
    </row>
    <row r="527">
      <c r="B527" s="11" t="n"/>
      <c r="C527" s="7" t="n"/>
      <c r="D527" s="7" t="n"/>
      <c r="E527" s="8" t="n"/>
      <c r="F527" s="12">
        <f>IF(B527="","",TEXT(B527,"mmm"))</f>
        <v/>
      </c>
    </row>
    <row r="528">
      <c r="B528" s="11" t="n"/>
      <c r="C528" s="7" t="n"/>
      <c r="D528" s="7" t="n"/>
      <c r="E528" s="8" t="n"/>
      <c r="F528" s="12">
        <f>IF(B528="","",TEXT(B528,"mmm"))</f>
        <v/>
      </c>
    </row>
    <row r="529">
      <c r="B529" s="11" t="n"/>
      <c r="C529" s="7" t="n"/>
      <c r="D529" s="7" t="n"/>
      <c r="E529" s="8" t="n"/>
      <c r="F529" s="12">
        <f>IF(B529="","",TEXT(B529,"mmm"))</f>
        <v/>
      </c>
    </row>
    <row r="530">
      <c r="B530" s="11" t="n"/>
      <c r="C530" s="7" t="n"/>
      <c r="D530" s="7" t="n"/>
      <c r="E530" s="8" t="n"/>
      <c r="F530" s="12">
        <f>IF(B530="","",TEXT(B530,"mmm"))</f>
        <v/>
      </c>
    </row>
    <row r="531">
      <c r="B531" s="11" t="n"/>
      <c r="C531" s="7" t="n"/>
      <c r="D531" s="7" t="n"/>
      <c r="E531" s="8" t="n"/>
      <c r="F531" s="12">
        <f>IF(B531="","",TEXT(B531,"mmm"))</f>
        <v/>
      </c>
    </row>
    <row r="532">
      <c r="B532" s="11" t="n"/>
      <c r="C532" s="7" t="n"/>
      <c r="D532" s="7" t="n"/>
      <c r="E532" s="8" t="n"/>
      <c r="F532" s="12">
        <f>IF(B532="","",TEXT(B532,"mmm"))</f>
        <v/>
      </c>
    </row>
    <row r="533">
      <c r="B533" s="11" t="n"/>
      <c r="C533" s="7" t="n"/>
      <c r="D533" s="7" t="n"/>
      <c r="E533" s="8" t="n"/>
      <c r="F533" s="12">
        <f>IF(B533="","",TEXT(B533,"mmm"))</f>
        <v/>
      </c>
    </row>
    <row r="534">
      <c r="B534" s="11" t="n"/>
      <c r="C534" s="7" t="n"/>
      <c r="D534" s="7" t="n"/>
      <c r="E534" s="8" t="n"/>
      <c r="F534" s="12">
        <f>IF(B534="","",TEXT(B534,"mmm"))</f>
        <v/>
      </c>
    </row>
    <row r="535">
      <c r="B535" s="11" t="n"/>
      <c r="C535" s="7" t="n"/>
      <c r="D535" s="7" t="n"/>
      <c r="E535" s="8" t="n"/>
      <c r="F535" s="12">
        <f>IF(B535="","",TEXT(B535,"mmm"))</f>
        <v/>
      </c>
    </row>
    <row r="536">
      <c r="B536" s="11" t="n"/>
      <c r="C536" s="7" t="n"/>
      <c r="D536" s="7" t="n"/>
      <c r="E536" s="8" t="n"/>
      <c r="F536" s="12">
        <f>IF(B536="","",TEXT(B536,"mmm"))</f>
        <v/>
      </c>
    </row>
    <row r="537">
      <c r="B537" s="11" t="n"/>
      <c r="C537" s="7" t="n"/>
      <c r="D537" s="7" t="n"/>
      <c r="E537" s="8" t="n"/>
      <c r="F537" s="12">
        <f>IF(B537="","",TEXT(B537,"mmm"))</f>
        <v/>
      </c>
    </row>
    <row r="538">
      <c r="B538" s="11" t="n"/>
      <c r="C538" s="7" t="n"/>
      <c r="D538" s="7" t="n"/>
      <c r="E538" s="8" t="n"/>
      <c r="F538" s="12">
        <f>IF(B538="","",TEXT(B538,"mmm"))</f>
        <v/>
      </c>
    </row>
    <row r="539">
      <c r="B539" s="11" t="n"/>
      <c r="C539" s="7" t="n"/>
      <c r="D539" s="7" t="n"/>
      <c r="E539" s="8" t="n"/>
      <c r="F539" s="12">
        <f>IF(B539="","",TEXT(B539,"mmm"))</f>
        <v/>
      </c>
    </row>
    <row r="540">
      <c r="B540" s="11" t="n"/>
      <c r="C540" s="7" t="n"/>
      <c r="D540" s="7" t="n"/>
      <c r="E540" s="8" t="n"/>
      <c r="F540" s="12">
        <f>IF(B540="","",TEXT(B540,"mmm"))</f>
        <v/>
      </c>
    </row>
    <row r="541">
      <c r="B541" s="11" t="n"/>
      <c r="C541" s="7" t="n"/>
      <c r="D541" s="7" t="n"/>
      <c r="E541" s="8" t="n"/>
      <c r="F541" s="12">
        <f>IF(B541="","",TEXT(B541,"mmm"))</f>
        <v/>
      </c>
    </row>
    <row r="542">
      <c r="B542" s="11" t="n"/>
      <c r="C542" s="7" t="n"/>
      <c r="D542" s="7" t="n"/>
      <c r="E542" s="8" t="n"/>
      <c r="F542" s="12">
        <f>IF(B542="","",TEXT(B542,"mmm"))</f>
        <v/>
      </c>
    </row>
    <row r="543">
      <c r="B543" s="11" t="n"/>
      <c r="C543" s="7" t="n"/>
      <c r="D543" s="7" t="n"/>
      <c r="E543" s="8" t="n"/>
      <c r="F543" s="12">
        <f>IF(B543="","",TEXT(B543,"mmm"))</f>
        <v/>
      </c>
    </row>
    <row r="544">
      <c r="B544" s="11" t="n"/>
      <c r="C544" s="7" t="n"/>
      <c r="D544" s="7" t="n"/>
      <c r="E544" s="8" t="n"/>
      <c r="F544" s="12">
        <f>IF(B544="","",TEXT(B544,"mmm"))</f>
        <v/>
      </c>
    </row>
    <row r="545">
      <c r="B545" s="11" t="n"/>
      <c r="C545" s="7" t="n"/>
      <c r="D545" s="7" t="n"/>
      <c r="E545" s="8" t="n"/>
      <c r="F545" s="12">
        <f>IF(B545="","",TEXT(B545,"mmm"))</f>
        <v/>
      </c>
    </row>
    <row r="546">
      <c r="B546" s="11" t="n"/>
      <c r="C546" s="7" t="n"/>
      <c r="D546" s="7" t="n"/>
      <c r="E546" s="8" t="n"/>
      <c r="F546" s="12">
        <f>IF(B546="","",TEXT(B546,"mmm"))</f>
        <v/>
      </c>
    </row>
    <row r="547">
      <c r="B547" s="11" t="n"/>
      <c r="C547" s="7" t="n"/>
      <c r="D547" s="7" t="n"/>
      <c r="E547" s="8" t="n"/>
      <c r="F547" s="12">
        <f>IF(B547="","",TEXT(B547,"mmm"))</f>
        <v/>
      </c>
    </row>
    <row r="548">
      <c r="B548" s="11" t="n"/>
      <c r="C548" s="7" t="n"/>
      <c r="D548" s="7" t="n"/>
      <c r="E548" s="8" t="n"/>
      <c r="F548" s="12">
        <f>IF(B548="","",TEXT(B548,"mmm"))</f>
        <v/>
      </c>
    </row>
    <row r="549">
      <c r="B549" s="11" t="n"/>
      <c r="C549" s="7" t="n"/>
      <c r="D549" s="7" t="n"/>
      <c r="E549" s="8" t="n"/>
      <c r="F549" s="12">
        <f>IF(B549="","",TEXT(B549,"mmm"))</f>
        <v/>
      </c>
    </row>
    <row r="550">
      <c r="B550" s="11" t="n"/>
      <c r="C550" s="7" t="n"/>
      <c r="D550" s="7" t="n"/>
      <c r="E550" s="8" t="n"/>
      <c r="F550" s="12">
        <f>IF(B550="","",TEXT(B550,"mmm"))</f>
        <v/>
      </c>
    </row>
    <row r="551">
      <c r="B551" s="11" t="n"/>
      <c r="C551" s="7" t="n"/>
      <c r="D551" s="7" t="n"/>
      <c r="E551" s="8" t="n"/>
      <c r="F551" s="12">
        <f>IF(B551="","",TEXT(B551,"mmm"))</f>
        <v/>
      </c>
    </row>
    <row r="552">
      <c r="B552" s="11" t="n"/>
      <c r="C552" s="7" t="n"/>
      <c r="D552" s="7" t="n"/>
      <c r="E552" s="8" t="n"/>
      <c r="F552" s="12">
        <f>IF(B552="","",TEXT(B552,"mmm"))</f>
        <v/>
      </c>
    </row>
    <row r="553">
      <c r="B553" s="11" t="n"/>
      <c r="C553" s="7" t="n"/>
      <c r="D553" s="7" t="n"/>
      <c r="E553" s="8" t="n"/>
      <c r="F553" s="12">
        <f>IF(B553="","",TEXT(B553,"mmm"))</f>
        <v/>
      </c>
    </row>
    <row r="554">
      <c r="B554" s="11" t="n"/>
      <c r="C554" s="7" t="n"/>
      <c r="D554" s="7" t="n"/>
      <c r="E554" s="8" t="n"/>
      <c r="F554" s="12">
        <f>IF(B554="","",TEXT(B554,"mmm"))</f>
        <v/>
      </c>
    </row>
    <row r="555">
      <c r="B555" s="11" t="n"/>
      <c r="C555" s="7" t="n"/>
      <c r="D555" s="7" t="n"/>
      <c r="E555" s="8" t="n"/>
      <c r="F555" s="12">
        <f>IF(B555="","",TEXT(B555,"mmm"))</f>
        <v/>
      </c>
    </row>
    <row r="556">
      <c r="B556" s="11" t="n"/>
      <c r="C556" s="7" t="n"/>
      <c r="D556" s="7" t="n"/>
      <c r="E556" s="8" t="n"/>
      <c r="F556" s="12">
        <f>IF(B556="","",TEXT(B556,"mmm"))</f>
        <v/>
      </c>
    </row>
    <row r="557">
      <c r="B557" s="11" t="n"/>
      <c r="C557" s="7" t="n"/>
      <c r="D557" s="7" t="n"/>
      <c r="E557" s="8" t="n"/>
      <c r="F557" s="12">
        <f>IF(B557="","",TEXT(B557,"mmm"))</f>
        <v/>
      </c>
    </row>
    <row r="558">
      <c r="B558" s="11" t="n"/>
      <c r="C558" s="7" t="n"/>
      <c r="D558" s="7" t="n"/>
      <c r="E558" s="8" t="n"/>
      <c r="F558" s="12">
        <f>IF(B558="","",TEXT(B558,"mmm"))</f>
        <v/>
      </c>
    </row>
    <row r="559">
      <c r="B559" s="11" t="n"/>
      <c r="C559" s="7" t="n"/>
      <c r="D559" s="7" t="n"/>
      <c r="E559" s="8" t="n"/>
      <c r="F559" s="12">
        <f>IF(B559="","",TEXT(B559,"mmm"))</f>
        <v/>
      </c>
    </row>
    <row r="560">
      <c r="B560" s="11" t="n"/>
      <c r="C560" s="7" t="n"/>
      <c r="D560" s="7" t="n"/>
      <c r="E560" s="8" t="n"/>
      <c r="F560" s="12">
        <f>IF(B560="","",TEXT(B560,"mmm"))</f>
        <v/>
      </c>
    </row>
    <row r="561">
      <c r="B561" s="11" t="n"/>
      <c r="C561" s="7" t="n"/>
      <c r="D561" s="7" t="n"/>
      <c r="E561" s="8" t="n"/>
      <c r="F561" s="12">
        <f>IF(B561="","",TEXT(B561,"mmm"))</f>
        <v/>
      </c>
    </row>
    <row r="562">
      <c r="B562" s="11" t="n"/>
      <c r="C562" s="7" t="n"/>
      <c r="D562" s="7" t="n"/>
      <c r="E562" s="8" t="n"/>
      <c r="F562" s="12">
        <f>IF(B562="","",TEXT(B562,"mmm"))</f>
        <v/>
      </c>
    </row>
    <row r="563">
      <c r="B563" s="11" t="n"/>
      <c r="C563" s="7" t="n"/>
      <c r="D563" s="7" t="n"/>
      <c r="E563" s="8" t="n"/>
      <c r="F563" s="12">
        <f>IF(B563="","",TEXT(B563,"mmm"))</f>
        <v/>
      </c>
    </row>
    <row r="564">
      <c r="B564" s="11" t="n"/>
      <c r="C564" s="7" t="n"/>
      <c r="D564" s="7" t="n"/>
      <c r="E564" s="8" t="n"/>
      <c r="F564" s="12">
        <f>IF(B564="","",TEXT(B564,"mmm"))</f>
        <v/>
      </c>
    </row>
    <row r="565">
      <c r="B565" s="11" t="n"/>
      <c r="C565" s="7" t="n"/>
      <c r="D565" s="7" t="n"/>
      <c r="E565" s="8" t="n"/>
      <c r="F565" s="12">
        <f>IF(B565="","",TEXT(B565,"mmm"))</f>
        <v/>
      </c>
    </row>
    <row r="566">
      <c r="B566" s="11" t="n"/>
      <c r="C566" s="7" t="n"/>
      <c r="D566" s="7" t="n"/>
      <c r="E566" s="8" t="n"/>
      <c r="F566" s="12">
        <f>IF(B566="","",TEXT(B566,"mmm"))</f>
        <v/>
      </c>
    </row>
    <row r="567">
      <c r="B567" s="11" t="n"/>
      <c r="C567" s="7" t="n"/>
      <c r="D567" s="7" t="n"/>
      <c r="E567" s="8" t="n"/>
      <c r="F567" s="12">
        <f>IF(B567="","",TEXT(B567,"mmm"))</f>
        <v/>
      </c>
    </row>
    <row r="568">
      <c r="B568" s="11" t="n"/>
      <c r="C568" s="7" t="n"/>
      <c r="D568" s="7" t="n"/>
      <c r="E568" s="8" t="n"/>
      <c r="F568" s="12">
        <f>IF(B568="","",TEXT(B568,"mmm"))</f>
        <v/>
      </c>
    </row>
    <row r="569">
      <c r="B569" s="11" t="n"/>
      <c r="C569" s="7" t="n"/>
      <c r="D569" s="7" t="n"/>
      <c r="E569" s="8" t="n"/>
      <c r="F569" s="12">
        <f>IF(B569="","",TEXT(B569,"mmm"))</f>
        <v/>
      </c>
    </row>
    <row r="570">
      <c r="B570" s="11" t="n"/>
      <c r="C570" s="7" t="n"/>
      <c r="D570" s="7" t="n"/>
      <c r="E570" s="8" t="n"/>
      <c r="F570" s="12">
        <f>IF(B570="","",TEXT(B570,"mmm"))</f>
        <v/>
      </c>
    </row>
    <row r="571">
      <c r="B571" s="11" t="n"/>
      <c r="C571" s="7" t="n"/>
      <c r="D571" s="7" t="n"/>
      <c r="E571" s="8" t="n"/>
      <c r="F571" s="12">
        <f>IF(B571="","",TEXT(B571,"mmm"))</f>
        <v/>
      </c>
    </row>
    <row r="572">
      <c r="B572" s="11" t="n"/>
      <c r="C572" s="7" t="n"/>
      <c r="D572" s="7" t="n"/>
      <c r="E572" s="8" t="n"/>
      <c r="F572" s="12">
        <f>IF(B572="","",TEXT(B572,"mmm"))</f>
        <v/>
      </c>
    </row>
    <row r="573">
      <c r="B573" s="11" t="n"/>
      <c r="C573" s="7" t="n"/>
      <c r="D573" s="7" t="n"/>
      <c r="E573" s="8" t="n"/>
      <c r="F573" s="12">
        <f>IF(B573="","",TEXT(B573,"mmm"))</f>
        <v/>
      </c>
    </row>
    <row r="574">
      <c r="B574" s="11" t="n"/>
      <c r="C574" s="7" t="n"/>
      <c r="D574" s="7" t="n"/>
      <c r="E574" s="8" t="n"/>
      <c r="F574" s="12">
        <f>IF(B574="","",TEXT(B574,"mmm"))</f>
        <v/>
      </c>
    </row>
    <row r="575">
      <c r="B575" s="11" t="n"/>
      <c r="C575" s="7" t="n"/>
      <c r="D575" s="7" t="n"/>
      <c r="E575" s="8" t="n"/>
      <c r="F575" s="12">
        <f>IF(B575="","",TEXT(B575,"mmm"))</f>
        <v/>
      </c>
    </row>
    <row r="576">
      <c r="B576" s="11" t="n"/>
      <c r="C576" s="7" t="n"/>
      <c r="D576" s="7" t="n"/>
      <c r="E576" s="8" t="n"/>
      <c r="F576" s="12">
        <f>IF(B576="","",TEXT(B576,"mmm"))</f>
        <v/>
      </c>
    </row>
    <row r="577">
      <c r="B577" s="11" t="n"/>
      <c r="C577" s="7" t="n"/>
      <c r="D577" s="7" t="n"/>
      <c r="E577" s="8" t="n"/>
      <c r="F577" s="12">
        <f>IF(B577="","",TEXT(B577,"mmm"))</f>
        <v/>
      </c>
    </row>
    <row r="578">
      <c r="B578" s="11" t="n"/>
      <c r="C578" s="7" t="n"/>
      <c r="D578" s="7" t="n"/>
      <c r="E578" s="8" t="n"/>
      <c r="F578" s="12">
        <f>IF(B578="","",TEXT(B578,"mmm"))</f>
        <v/>
      </c>
    </row>
    <row r="579">
      <c r="B579" s="11" t="n"/>
      <c r="C579" s="7" t="n"/>
      <c r="D579" s="7" t="n"/>
      <c r="E579" s="8" t="n"/>
      <c r="F579" s="12">
        <f>IF(B579="","",TEXT(B579,"mmm"))</f>
        <v/>
      </c>
    </row>
    <row r="580">
      <c r="B580" s="11" t="n"/>
      <c r="C580" s="7" t="n"/>
      <c r="D580" s="7" t="n"/>
      <c r="E580" s="8" t="n"/>
      <c r="F580" s="12">
        <f>IF(B580="","",TEXT(B580,"mmm"))</f>
        <v/>
      </c>
    </row>
    <row r="581">
      <c r="B581" s="11" t="n"/>
      <c r="C581" s="7" t="n"/>
      <c r="D581" s="7" t="n"/>
      <c r="E581" s="8" t="n"/>
      <c r="F581" s="12">
        <f>IF(B581="","",TEXT(B581,"mmm"))</f>
        <v/>
      </c>
    </row>
    <row r="582">
      <c r="B582" s="11" t="n"/>
      <c r="C582" s="7" t="n"/>
      <c r="D582" s="7" t="n"/>
      <c r="E582" s="8" t="n"/>
      <c r="F582" s="12">
        <f>IF(B582="","",TEXT(B582,"mmm"))</f>
        <v/>
      </c>
    </row>
    <row r="583">
      <c r="B583" s="11" t="n"/>
      <c r="C583" s="7" t="n"/>
      <c r="D583" s="7" t="n"/>
      <c r="E583" s="8" t="n"/>
      <c r="F583" s="12">
        <f>IF(B583="","",TEXT(B583,"mmm"))</f>
        <v/>
      </c>
    </row>
    <row r="584">
      <c r="B584" s="11" t="n"/>
      <c r="C584" s="7" t="n"/>
      <c r="D584" s="7" t="n"/>
      <c r="E584" s="8" t="n"/>
      <c r="F584" s="12">
        <f>IF(B584="","",TEXT(B584,"mmm"))</f>
        <v/>
      </c>
    </row>
    <row r="585">
      <c r="B585" s="11" t="n"/>
      <c r="C585" s="7" t="n"/>
      <c r="D585" s="7" t="n"/>
      <c r="E585" s="8" t="n"/>
      <c r="F585" s="12">
        <f>IF(B585="","",TEXT(B585,"mmm"))</f>
        <v/>
      </c>
    </row>
    <row r="586">
      <c r="B586" s="11" t="n"/>
      <c r="C586" s="7" t="n"/>
      <c r="D586" s="7" t="n"/>
      <c r="E586" s="8" t="n"/>
      <c r="F586" s="12">
        <f>IF(B586="","",TEXT(B586,"mmm"))</f>
        <v/>
      </c>
    </row>
    <row r="587">
      <c r="B587" s="11" t="n"/>
      <c r="C587" s="7" t="n"/>
      <c r="D587" s="7" t="n"/>
      <c r="E587" s="8" t="n"/>
      <c r="F587" s="12">
        <f>IF(B587="","",TEXT(B587,"mmm"))</f>
        <v/>
      </c>
    </row>
    <row r="588">
      <c r="B588" s="11" t="n"/>
      <c r="C588" s="7" t="n"/>
      <c r="D588" s="7" t="n"/>
      <c r="E588" s="8" t="n"/>
      <c r="F588" s="12">
        <f>IF(B588="","",TEXT(B588,"mmm"))</f>
        <v/>
      </c>
    </row>
    <row r="589">
      <c r="B589" s="11" t="n"/>
      <c r="C589" s="7" t="n"/>
      <c r="D589" s="7" t="n"/>
      <c r="E589" s="8" t="n"/>
      <c r="F589" s="12">
        <f>IF(B589="","",TEXT(B589,"mmm"))</f>
        <v/>
      </c>
    </row>
    <row r="590">
      <c r="B590" s="11" t="n"/>
      <c r="C590" s="7" t="n"/>
      <c r="D590" s="7" t="n"/>
      <c r="E590" s="8" t="n"/>
      <c r="F590" s="12">
        <f>IF(B590="","",TEXT(B590,"mmm"))</f>
        <v/>
      </c>
    </row>
    <row r="591">
      <c r="B591" s="11" t="n"/>
      <c r="C591" s="7" t="n"/>
      <c r="D591" s="7" t="n"/>
      <c r="E591" s="8" t="n"/>
      <c r="F591" s="12">
        <f>IF(B591="","",TEXT(B591,"mmm"))</f>
        <v/>
      </c>
    </row>
    <row r="592">
      <c r="B592" s="11" t="n"/>
      <c r="C592" s="7" t="n"/>
      <c r="D592" s="7" t="n"/>
      <c r="E592" s="8" t="n"/>
      <c r="F592" s="12">
        <f>IF(B592="","",TEXT(B592,"mmm"))</f>
        <v/>
      </c>
    </row>
    <row r="593">
      <c r="B593" s="11" t="n"/>
      <c r="C593" s="7" t="n"/>
      <c r="D593" s="7" t="n"/>
      <c r="E593" s="8" t="n"/>
      <c r="F593" s="12">
        <f>IF(B593="","",TEXT(B593,"mmm"))</f>
        <v/>
      </c>
    </row>
    <row r="594">
      <c r="B594" s="11" t="n"/>
      <c r="C594" s="7" t="n"/>
      <c r="D594" s="7" t="n"/>
      <c r="E594" s="8" t="n"/>
      <c r="F594" s="12">
        <f>IF(B594="","",TEXT(B594,"mmm"))</f>
        <v/>
      </c>
    </row>
    <row r="595">
      <c r="B595" s="11" t="n"/>
      <c r="C595" s="7" t="n"/>
      <c r="D595" s="7" t="n"/>
      <c r="E595" s="8" t="n"/>
      <c r="F595" s="12">
        <f>IF(B595="","",TEXT(B595,"mmm"))</f>
        <v/>
      </c>
    </row>
    <row r="596">
      <c r="B596" s="11" t="n"/>
      <c r="C596" s="7" t="n"/>
      <c r="D596" s="7" t="n"/>
      <c r="E596" s="8" t="n"/>
      <c r="F596" s="12">
        <f>IF(B596="","",TEXT(B596,"mmm"))</f>
        <v/>
      </c>
    </row>
    <row r="597">
      <c r="B597" s="11" t="n"/>
      <c r="C597" s="7" t="n"/>
      <c r="D597" s="7" t="n"/>
      <c r="E597" s="8" t="n"/>
      <c r="F597" s="12">
        <f>IF(B597="","",TEXT(B597,"mmm"))</f>
        <v/>
      </c>
    </row>
    <row r="598">
      <c r="B598" s="11" t="n"/>
      <c r="C598" s="7" t="n"/>
      <c r="D598" s="7" t="n"/>
      <c r="E598" s="8" t="n"/>
      <c r="F598" s="12">
        <f>IF(B598="","",TEXT(B598,"mmm"))</f>
        <v/>
      </c>
    </row>
    <row r="599">
      <c r="B599" s="11" t="n"/>
      <c r="C599" s="7" t="n"/>
      <c r="D599" s="7" t="n"/>
      <c r="E599" s="8" t="n"/>
      <c r="F599" s="12">
        <f>IF(B599="","",TEXT(B599,"mmm"))</f>
        <v/>
      </c>
    </row>
    <row r="600">
      <c r="B600" s="11" t="n"/>
      <c r="C600" s="7" t="n"/>
      <c r="D600" s="7" t="n"/>
      <c r="E600" s="8" t="n"/>
      <c r="F600" s="12">
        <f>IF(B600="","",TEXT(B600,"mmm"))</f>
        <v/>
      </c>
    </row>
    <row r="601">
      <c r="B601" s="11" t="n"/>
      <c r="C601" s="7" t="n"/>
      <c r="D601" s="7" t="n"/>
      <c r="E601" s="8" t="n"/>
      <c r="F601" s="12">
        <f>IF(B601="","",TEXT(B601,"mmm"))</f>
        <v/>
      </c>
    </row>
    <row r="602">
      <c r="B602" s="11" t="n"/>
      <c r="C602" s="7" t="n"/>
      <c r="D602" s="7" t="n"/>
      <c r="E602" s="8" t="n"/>
      <c r="F602" s="12">
        <f>IF(B602="","",TEXT(B602,"mmm"))</f>
        <v/>
      </c>
    </row>
    <row r="603">
      <c r="B603" s="11" t="n"/>
      <c r="C603" s="7" t="n"/>
      <c r="D603" s="7" t="n"/>
      <c r="E603" s="8" t="n"/>
      <c r="F603" s="12">
        <f>IF(B603="","",TEXT(B603,"mmm"))</f>
        <v/>
      </c>
    </row>
    <row r="604">
      <c r="B604" s="11" t="n"/>
      <c r="C604" s="7" t="n"/>
      <c r="D604" s="7" t="n"/>
      <c r="E604" s="8" t="n"/>
      <c r="F604" s="12">
        <f>IF(B604="","",TEXT(B604,"mmm"))</f>
        <v/>
      </c>
    </row>
    <row r="605">
      <c r="B605" s="11" t="n"/>
      <c r="C605" s="7" t="n"/>
      <c r="D605" s="7" t="n"/>
      <c r="E605" s="8" t="n"/>
      <c r="F605" s="12">
        <f>IF(B605="","",TEXT(B605,"mmm"))</f>
        <v/>
      </c>
    </row>
    <row r="606">
      <c r="B606" s="11" t="n"/>
      <c r="C606" s="7" t="n"/>
      <c r="D606" s="7" t="n"/>
      <c r="E606" s="8" t="n"/>
      <c r="F606" s="12">
        <f>IF(B606="","",TEXT(B606,"mmm"))</f>
        <v/>
      </c>
    </row>
    <row r="607">
      <c r="B607" s="11" t="n"/>
      <c r="C607" s="7" t="n"/>
      <c r="D607" s="7" t="n"/>
      <c r="E607" s="8" t="n"/>
      <c r="F607" s="12">
        <f>IF(B607="","",TEXT(B607,"mmm"))</f>
        <v/>
      </c>
    </row>
    <row r="608">
      <c r="B608" s="11" t="n"/>
      <c r="C608" s="7" t="n"/>
      <c r="D608" s="7" t="n"/>
      <c r="E608" s="8" t="n"/>
      <c r="F608" s="12">
        <f>IF(B608="","",TEXT(B608,"mmm"))</f>
        <v/>
      </c>
    </row>
    <row r="609">
      <c r="B609" s="11" t="n"/>
      <c r="C609" s="7" t="n"/>
      <c r="D609" s="7" t="n"/>
      <c r="E609" s="8" t="n"/>
      <c r="F609" s="12">
        <f>IF(B609="","",TEXT(B609,"mmm"))</f>
        <v/>
      </c>
    </row>
    <row r="610">
      <c r="B610" s="11" t="n"/>
      <c r="C610" s="7" t="n"/>
      <c r="D610" s="7" t="n"/>
      <c r="E610" s="8" t="n"/>
      <c r="F610" s="12">
        <f>IF(B610="","",TEXT(B610,"mmm"))</f>
        <v/>
      </c>
    </row>
    <row r="611">
      <c r="B611" s="11" t="n"/>
      <c r="C611" s="7" t="n"/>
      <c r="D611" s="7" t="n"/>
      <c r="E611" s="8" t="n"/>
      <c r="F611" s="12">
        <f>IF(B611="","",TEXT(B611,"mmm"))</f>
        <v/>
      </c>
    </row>
    <row r="612">
      <c r="B612" s="11" t="n"/>
      <c r="C612" s="7" t="n"/>
      <c r="D612" s="7" t="n"/>
      <c r="E612" s="8" t="n"/>
      <c r="F612" s="12">
        <f>IF(B612="","",TEXT(B612,"mmm"))</f>
        <v/>
      </c>
    </row>
    <row r="613">
      <c r="B613" s="11" t="n"/>
      <c r="C613" s="7" t="n"/>
      <c r="D613" s="7" t="n"/>
      <c r="E613" s="8" t="n"/>
      <c r="F613" s="12">
        <f>IF(B613="","",TEXT(B613,"mmm"))</f>
        <v/>
      </c>
    </row>
    <row r="614">
      <c r="B614" s="11" t="n"/>
      <c r="C614" s="7" t="n"/>
      <c r="D614" s="7" t="n"/>
      <c r="E614" s="8" t="n"/>
      <c r="F614" s="12">
        <f>IF(B614="","",TEXT(B614,"mmm"))</f>
        <v/>
      </c>
    </row>
    <row r="615">
      <c r="B615" s="11" t="n"/>
      <c r="C615" s="7" t="n"/>
      <c r="D615" s="7" t="n"/>
      <c r="E615" s="8" t="n"/>
      <c r="F615" s="12">
        <f>IF(B615="","",TEXT(B615,"mmm"))</f>
        <v/>
      </c>
    </row>
    <row r="616">
      <c r="B616" s="11" t="n"/>
      <c r="C616" s="7" t="n"/>
      <c r="D616" s="7" t="n"/>
      <c r="E616" s="8" t="n"/>
      <c r="F616" s="12">
        <f>IF(B616="","",TEXT(B616,"mmm"))</f>
        <v/>
      </c>
    </row>
    <row r="617">
      <c r="B617" s="11" t="n"/>
      <c r="C617" s="7" t="n"/>
      <c r="D617" s="7" t="n"/>
      <c r="E617" s="8" t="n"/>
      <c r="F617" s="12">
        <f>IF(B617="","",TEXT(B617,"mmm"))</f>
        <v/>
      </c>
    </row>
    <row r="618">
      <c r="B618" s="11" t="n"/>
      <c r="C618" s="7" t="n"/>
      <c r="D618" s="7" t="n"/>
      <c r="E618" s="8" t="n"/>
      <c r="F618" s="12">
        <f>IF(B618="","",TEXT(B618,"mmm"))</f>
        <v/>
      </c>
    </row>
    <row r="619">
      <c r="B619" s="11" t="n"/>
      <c r="C619" s="7" t="n"/>
      <c r="D619" s="7" t="n"/>
      <c r="E619" s="8" t="n"/>
      <c r="F619" s="12">
        <f>IF(B619="","",TEXT(B619,"mmm"))</f>
        <v/>
      </c>
    </row>
    <row r="620">
      <c r="B620" s="11" t="n"/>
      <c r="C620" s="7" t="n"/>
      <c r="D620" s="7" t="n"/>
      <c r="E620" s="8" t="n"/>
      <c r="F620" s="12">
        <f>IF(B620="","",TEXT(B620,"mmm"))</f>
        <v/>
      </c>
    </row>
    <row r="621">
      <c r="B621" s="11" t="n"/>
      <c r="C621" s="7" t="n"/>
      <c r="D621" s="7" t="n"/>
      <c r="E621" s="8" t="n"/>
      <c r="F621" s="12">
        <f>IF(B621="","",TEXT(B621,"mmm"))</f>
        <v/>
      </c>
    </row>
    <row r="622">
      <c r="B622" s="11" t="n"/>
      <c r="C622" s="7" t="n"/>
      <c r="D622" s="7" t="n"/>
      <c r="E622" s="8" t="n"/>
      <c r="F622" s="12">
        <f>IF(B622="","",TEXT(B622,"mmm"))</f>
        <v/>
      </c>
    </row>
    <row r="623">
      <c r="B623" s="11" t="n"/>
      <c r="C623" s="7" t="n"/>
      <c r="D623" s="7" t="n"/>
      <c r="E623" s="8" t="n"/>
      <c r="F623" s="12">
        <f>IF(B623="","",TEXT(B623,"mmm"))</f>
        <v/>
      </c>
    </row>
    <row r="624">
      <c r="B624" s="11" t="n"/>
      <c r="C624" s="7" t="n"/>
      <c r="D624" s="7" t="n"/>
      <c r="E624" s="8" t="n"/>
      <c r="F624" s="12">
        <f>IF(B624="","",TEXT(B624,"mmm"))</f>
        <v/>
      </c>
    </row>
    <row r="625">
      <c r="B625" s="11" t="n"/>
      <c r="C625" s="7" t="n"/>
      <c r="D625" s="7" t="n"/>
      <c r="E625" s="8" t="n"/>
      <c r="F625" s="12">
        <f>IF(B625="","",TEXT(B625,"mmm"))</f>
        <v/>
      </c>
    </row>
    <row r="626">
      <c r="B626" s="11" t="n"/>
      <c r="C626" s="7" t="n"/>
      <c r="D626" s="7" t="n"/>
      <c r="E626" s="8" t="n"/>
      <c r="F626" s="12">
        <f>IF(B626="","",TEXT(B626,"mmm"))</f>
        <v/>
      </c>
    </row>
    <row r="627">
      <c r="B627" s="11" t="n"/>
      <c r="C627" s="7" t="n"/>
      <c r="D627" s="7" t="n"/>
      <c r="E627" s="8" t="n"/>
      <c r="F627" s="12">
        <f>IF(B627="","",TEXT(B627,"mmm"))</f>
        <v/>
      </c>
    </row>
    <row r="628">
      <c r="B628" s="11" t="n"/>
      <c r="C628" s="7" t="n"/>
      <c r="D628" s="7" t="n"/>
      <c r="E628" s="8" t="n"/>
      <c r="F628" s="12">
        <f>IF(B628="","",TEXT(B628,"mmm"))</f>
        <v/>
      </c>
    </row>
    <row r="629">
      <c r="B629" s="11" t="n"/>
      <c r="C629" s="7" t="n"/>
      <c r="D629" s="7" t="n"/>
      <c r="E629" s="8" t="n"/>
      <c r="F629" s="12">
        <f>IF(B629="","",TEXT(B629,"mmm"))</f>
        <v/>
      </c>
    </row>
    <row r="630">
      <c r="B630" s="11" t="n"/>
      <c r="C630" s="7" t="n"/>
      <c r="D630" s="7" t="n"/>
      <c r="E630" s="8" t="n"/>
      <c r="F630" s="12">
        <f>IF(B630="","",TEXT(B630,"mmm"))</f>
        <v/>
      </c>
    </row>
    <row r="631">
      <c r="B631" s="11" t="n"/>
      <c r="C631" s="7" t="n"/>
      <c r="D631" s="7" t="n"/>
      <c r="E631" s="8" t="n"/>
      <c r="F631" s="12">
        <f>IF(B631="","",TEXT(B631,"mmm"))</f>
        <v/>
      </c>
    </row>
    <row r="632">
      <c r="B632" s="11" t="n"/>
      <c r="C632" s="7" t="n"/>
      <c r="D632" s="7" t="n"/>
      <c r="E632" s="8" t="n"/>
      <c r="F632" s="12">
        <f>IF(B632="","",TEXT(B632,"mmm"))</f>
        <v/>
      </c>
    </row>
    <row r="633">
      <c r="B633" s="11" t="n"/>
      <c r="C633" s="7" t="n"/>
      <c r="D633" s="7" t="n"/>
      <c r="E633" s="8" t="n"/>
      <c r="F633" s="12">
        <f>IF(B633="","",TEXT(B633,"mmm"))</f>
        <v/>
      </c>
    </row>
    <row r="634">
      <c r="B634" s="11" t="n"/>
      <c r="C634" s="7" t="n"/>
      <c r="D634" s="7" t="n"/>
      <c r="E634" s="8" t="n"/>
      <c r="F634" s="12">
        <f>IF(B634="","",TEXT(B634,"mmm"))</f>
        <v/>
      </c>
    </row>
    <row r="635">
      <c r="B635" s="11" t="n"/>
      <c r="C635" s="7" t="n"/>
      <c r="D635" s="7" t="n"/>
      <c r="E635" s="8" t="n"/>
      <c r="F635" s="12">
        <f>IF(B635="","",TEXT(B635,"mmm"))</f>
        <v/>
      </c>
    </row>
    <row r="636">
      <c r="B636" s="11" t="n"/>
      <c r="C636" s="7" t="n"/>
      <c r="D636" s="7" t="n"/>
      <c r="E636" s="8" t="n"/>
      <c r="F636" s="12">
        <f>IF(B636="","",TEXT(B636,"mmm"))</f>
        <v/>
      </c>
    </row>
    <row r="637">
      <c r="B637" s="11" t="n"/>
      <c r="C637" s="7" t="n"/>
      <c r="D637" s="7" t="n"/>
      <c r="E637" s="8" t="n"/>
      <c r="F637" s="12">
        <f>IF(B637="","",TEXT(B637,"mmm"))</f>
        <v/>
      </c>
    </row>
    <row r="638">
      <c r="B638" s="11" t="n"/>
      <c r="C638" s="7" t="n"/>
      <c r="D638" s="7" t="n"/>
      <c r="E638" s="8" t="n"/>
      <c r="F638" s="12">
        <f>IF(B638="","",TEXT(B638,"mmm"))</f>
        <v/>
      </c>
    </row>
    <row r="639">
      <c r="B639" s="11" t="n"/>
      <c r="C639" s="7" t="n"/>
      <c r="D639" s="7" t="n"/>
      <c r="E639" s="8" t="n"/>
      <c r="F639" s="12">
        <f>IF(B639="","",TEXT(B639,"mmm"))</f>
        <v/>
      </c>
    </row>
    <row r="640">
      <c r="B640" s="11" t="n"/>
      <c r="C640" s="7" t="n"/>
      <c r="D640" s="7" t="n"/>
      <c r="E640" s="8" t="n"/>
      <c r="F640" s="12">
        <f>IF(B640="","",TEXT(B640,"mmm"))</f>
        <v/>
      </c>
    </row>
    <row r="641">
      <c r="B641" s="11" t="n"/>
      <c r="C641" s="7" t="n"/>
      <c r="D641" s="7" t="n"/>
      <c r="E641" s="8" t="n"/>
      <c r="F641" s="12">
        <f>IF(B641="","",TEXT(B641,"mmm"))</f>
        <v/>
      </c>
    </row>
    <row r="642">
      <c r="B642" s="11" t="n"/>
      <c r="C642" s="7" t="n"/>
      <c r="D642" s="7" t="n"/>
      <c r="E642" s="8" t="n"/>
      <c r="F642" s="12">
        <f>IF(B642="","",TEXT(B642,"mmm"))</f>
        <v/>
      </c>
    </row>
    <row r="643">
      <c r="B643" s="11" t="n"/>
      <c r="C643" s="7" t="n"/>
      <c r="D643" s="7" t="n"/>
      <c r="E643" s="8" t="n"/>
      <c r="F643" s="12">
        <f>IF(B643="","",TEXT(B643,"mmm"))</f>
        <v/>
      </c>
    </row>
    <row r="644">
      <c r="B644" s="11" t="n"/>
      <c r="C644" s="7" t="n"/>
      <c r="D644" s="7" t="n"/>
      <c r="E644" s="8" t="n"/>
      <c r="F644" s="12">
        <f>IF(B644="","",TEXT(B644,"mmm"))</f>
        <v/>
      </c>
    </row>
    <row r="645">
      <c r="B645" s="11" t="n"/>
      <c r="C645" s="7" t="n"/>
      <c r="D645" s="7" t="n"/>
      <c r="E645" s="8" t="n"/>
      <c r="F645" s="12">
        <f>IF(B645="","",TEXT(B645,"mmm"))</f>
        <v/>
      </c>
    </row>
    <row r="646">
      <c r="B646" s="11" t="n"/>
      <c r="C646" s="7" t="n"/>
      <c r="D646" s="7" t="n"/>
      <c r="E646" s="8" t="n"/>
      <c r="F646" s="12">
        <f>IF(B646="","",TEXT(B646,"mmm"))</f>
        <v/>
      </c>
    </row>
    <row r="647">
      <c r="B647" s="11" t="n"/>
      <c r="C647" s="7" t="n"/>
      <c r="D647" s="7" t="n"/>
      <c r="E647" s="8" t="n"/>
      <c r="F647" s="12">
        <f>IF(B647="","",TEXT(B647,"mmm"))</f>
        <v/>
      </c>
    </row>
    <row r="648">
      <c r="B648" s="11" t="n"/>
      <c r="C648" s="7" t="n"/>
      <c r="D648" s="7" t="n"/>
      <c r="E648" s="8" t="n"/>
      <c r="F648" s="12">
        <f>IF(B648="","",TEXT(B648,"mmm"))</f>
        <v/>
      </c>
    </row>
    <row r="649">
      <c r="B649" s="11" t="n"/>
      <c r="C649" s="7" t="n"/>
      <c r="D649" s="7" t="n"/>
      <c r="E649" s="8" t="n"/>
      <c r="F649" s="12">
        <f>IF(B649="","",TEXT(B649,"mmm"))</f>
        <v/>
      </c>
    </row>
    <row r="650">
      <c r="B650" s="11" t="n"/>
      <c r="C650" s="7" t="n"/>
      <c r="D650" s="7" t="n"/>
      <c r="E650" s="8" t="n"/>
      <c r="F650" s="12">
        <f>IF(B650="","",TEXT(B650,"mmm"))</f>
        <v/>
      </c>
    </row>
    <row r="651">
      <c r="B651" s="11" t="n"/>
      <c r="C651" s="7" t="n"/>
      <c r="D651" s="7" t="n"/>
      <c r="E651" s="8" t="n"/>
      <c r="F651" s="12">
        <f>IF(B651="","",TEXT(B651,"mmm"))</f>
        <v/>
      </c>
    </row>
    <row r="652">
      <c r="B652" s="11" t="n"/>
      <c r="C652" s="7" t="n"/>
      <c r="D652" s="7" t="n"/>
      <c r="E652" s="8" t="n"/>
      <c r="F652" s="12">
        <f>IF(B652="","",TEXT(B652,"mmm"))</f>
        <v/>
      </c>
    </row>
    <row r="653">
      <c r="B653" s="11" t="n"/>
      <c r="C653" s="7" t="n"/>
      <c r="D653" s="7" t="n"/>
      <c r="E653" s="8" t="n"/>
      <c r="F653" s="12">
        <f>IF(B653="","",TEXT(B653,"mmm"))</f>
        <v/>
      </c>
    </row>
    <row r="654">
      <c r="B654" s="11" t="n"/>
      <c r="C654" s="7" t="n"/>
      <c r="D654" s="7" t="n"/>
      <c r="E654" s="8" t="n"/>
      <c r="F654" s="12">
        <f>IF(B654="","",TEXT(B654,"mmm"))</f>
        <v/>
      </c>
    </row>
    <row r="655">
      <c r="B655" s="11" t="n"/>
      <c r="C655" s="7" t="n"/>
      <c r="D655" s="7" t="n"/>
      <c r="E655" s="8" t="n"/>
      <c r="F655" s="12">
        <f>IF(B655="","",TEXT(B655,"mmm"))</f>
        <v/>
      </c>
    </row>
    <row r="656">
      <c r="B656" s="11" t="n"/>
      <c r="C656" s="7" t="n"/>
      <c r="D656" s="7" t="n"/>
      <c r="E656" s="8" t="n"/>
      <c r="F656" s="12">
        <f>IF(B656="","",TEXT(B656,"mmm"))</f>
        <v/>
      </c>
    </row>
    <row r="657">
      <c r="B657" s="11" t="n"/>
      <c r="C657" s="7" t="n"/>
      <c r="D657" s="7" t="n"/>
      <c r="E657" s="8" t="n"/>
      <c r="F657" s="12">
        <f>IF(B657="","",TEXT(B657,"mmm"))</f>
        <v/>
      </c>
    </row>
    <row r="658">
      <c r="B658" s="11" t="n"/>
      <c r="C658" s="7" t="n"/>
      <c r="D658" s="7" t="n"/>
      <c r="E658" s="8" t="n"/>
      <c r="F658" s="12">
        <f>IF(B658="","",TEXT(B658,"mmm"))</f>
        <v/>
      </c>
    </row>
    <row r="659">
      <c r="B659" s="11" t="n"/>
      <c r="C659" s="7" t="n"/>
      <c r="D659" s="7" t="n"/>
      <c r="E659" s="8" t="n"/>
      <c r="F659" s="12">
        <f>IF(B659="","",TEXT(B659,"mmm"))</f>
        <v/>
      </c>
    </row>
    <row r="660">
      <c r="B660" s="11" t="n"/>
      <c r="C660" s="7" t="n"/>
      <c r="D660" s="7" t="n"/>
      <c r="E660" s="8" t="n"/>
      <c r="F660" s="12">
        <f>IF(B660="","",TEXT(B660,"mmm"))</f>
        <v/>
      </c>
    </row>
    <row r="661">
      <c r="B661" s="11" t="n"/>
      <c r="C661" s="7" t="n"/>
      <c r="D661" s="7" t="n"/>
      <c r="E661" s="8" t="n"/>
      <c r="F661" s="12">
        <f>IF(B661="","",TEXT(B661,"mmm"))</f>
        <v/>
      </c>
    </row>
    <row r="662">
      <c r="B662" s="11" t="n"/>
      <c r="C662" s="7" t="n"/>
      <c r="D662" s="7" t="n"/>
      <c r="E662" s="8" t="n"/>
      <c r="F662" s="12">
        <f>IF(B662="","",TEXT(B662,"mmm"))</f>
        <v/>
      </c>
    </row>
    <row r="663">
      <c r="B663" s="11" t="n"/>
      <c r="C663" s="7" t="n"/>
      <c r="D663" s="7" t="n"/>
      <c r="E663" s="8" t="n"/>
      <c r="F663" s="12">
        <f>IF(B663="","",TEXT(B663,"mmm"))</f>
        <v/>
      </c>
    </row>
    <row r="664">
      <c r="B664" s="11" t="n"/>
      <c r="C664" s="7" t="n"/>
      <c r="D664" s="7" t="n"/>
      <c r="E664" s="8" t="n"/>
      <c r="F664" s="12">
        <f>IF(B664="","",TEXT(B664,"mmm"))</f>
        <v/>
      </c>
    </row>
    <row r="665">
      <c r="B665" s="11" t="n"/>
      <c r="C665" s="7" t="n"/>
      <c r="D665" s="7" t="n"/>
      <c r="E665" s="8" t="n"/>
      <c r="F665" s="12">
        <f>IF(B665="","",TEXT(B665,"mmm"))</f>
        <v/>
      </c>
    </row>
    <row r="666">
      <c r="B666" s="11" t="n"/>
      <c r="C666" s="7" t="n"/>
      <c r="D666" s="7" t="n"/>
      <c r="E666" s="8" t="n"/>
      <c r="F666" s="12">
        <f>IF(B666="","",TEXT(B666,"mmm"))</f>
        <v/>
      </c>
    </row>
    <row r="667">
      <c r="B667" s="11" t="n"/>
      <c r="C667" s="7" t="n"/>
      <c r="D667" s="7" t="n"/>
      <c r="E667" s="8" t="n"/>
      <c r="F667" s="12">
        <f>IF(B667="","",TEXT(B667,"mmm"))</f>
        <v/>
      </c>
    </row>
    <row r="668">
      <c r="B668" s="11" t="n"/>
      <c r="C668" s="7" t="n"/>
      <c r="D668" s="7" t="n"/>
      <c r="E668" s="8" t="n"/>
      <c r="F668" s="12">
        <f>IF(B668="","",TEXT(B668,"mmm"))</f>
        <v/>
      </c>
    </row>
    <row r="669">
      <c r="B669" s="11" t="n"/>
      <c r="C669" s="7" t="n"/>
      <c r="D669" s="7" t="n"/>
      <c r="E669" s="8" t="n"/>
      <c r="F669" s="12">
        <f>IF(B669="","",TEXT(B669,"mmm"))</f>
        <v/>
      </c>
    </row>
    <row r="670">
      <c r="B670" s="11" t="n"/>
      <c r="C670" s="7" t="n"/>
      <c r="D670" s="7" t="n"/>
      <c r="E670" s="8" t="n"/>
      <c r="F670" s="12">
        <f>IF(B670="","",TEXT(B670,"mmm"))</f>
        <v/>
      </c>
    </row>
    <row r="671">
      <c r="B671" s="11" t="n"/>
      <c r="C671" s="7" t="n"/>
      <c r="D671" s="7" t="n"/>
      <c r="E671" s="8" t="n"/>
      <c r="F671" s="12">
        <f>IF(B671="","",TEXT(B671,"mmm"))</f>
        <v/>
      </c>
    </row>
    <row r="672">
      <c r="B672" s="11" t="n"/>
      <c r="C672" s="7" t="n"/>
      <c r="D672" s="7" t="n"/>
      <c r="E672" s="8" t="n"/>
      <c r="F672" s="12">
        <f>IF(B672="","",TEXT(B672,"mmm"))</f>
        <v/>
      </c>
    </row>
    <row r="673">
      <c r="B673" s="11" t="n"/>
      <c r="C673" s="7" t="n"/>
      <c r="D673" s="7" t="n"/>
      <c r="E673" s="8" t="n"/>
      <c r="F673" s="12">
        <f>IF(B673="","",TEXT(B673,"mmm"))</f>
        <v/>
      </c>
    </row>
    <row r="674">
      <c r="B674" s="11" t="n"/>
      <c r="C674" s="7" t="n"/>
      <c r="D674" s="7" t="n"/>
      <c r="E674" s="8" t="n"/>
      <c r="F674" s="12">
        <f>IF(B674="","",TEXT(B674,"mmm"))</f>
        <v/>
      </c>
    </row>
    <row r="675">
      <c r="B675" s="11" t="n"/>
      <c r="C675" s="7" t="n"/>
      <c r="D675" s="7" t="n"/>
      <c r="E675" s="8" t="n"/>
      <c r="F675" s="12">
        <f>IF(B675="","",TEXT(B675,"mmm"))</f>
        <v/>
      </c>
    </row>
    <row r="676">
      <c r="B676" s="11" t="n"/>
      <c r="C676" s="7" t="n"/>
      <c r="D676" s="7" t="n"/>
      <c r="E676" s="8" t="n"/>
      <c r="F676" s="12">
        <f>IF(B676="","",TEXT(B676,"mmm"))</f>
        <v/>
      </c>
    </row>
    <row r="677">
      <c r="B677" s="11" t="n"/>
      <c r="C677" s="7" t="n"/>
      <c r="D677" s="7" t="n"/>
      <c r="E677" s="8" t="n"/>
      <c r="F677" s="12">
        <f>IF(B677="","",TEXT(B677,"mmm"))</f>
        <v/>
      </c>
    </row>
    <row r="678">
      <c r="B678" s="11" t="n"/>
      <c r="C678" s="7" t="n"/>
      <c r="D678" s="7" t="n"/>
      <c r="E678" s="8" t="n"/>
      <c r="F678" s="12">
        <f>IF(B678="","",TEXT(B678,"mmm"))</f>
        <v/>
      </c>
    </row>
    <row r="679">
      <c r="B679" s="11" t="n"/>
      <c r="C679" s="7" t="n"/>
      <c r="D679" s="7" t="n"/>
      <c r="E679" s="8" t="n"/>
      <c r="F679" s="12">
        <f>IF(B679="","",TEXT(B679,"mmm"))</f>
        <v/>
      </c>
    </row>
    <row r="680">
      <c r="B680" s="11" t="n"/>
      <c r="C680" s="7" t="n"/>
      <c r="D680" s="7" t="n"/>
      <c r="E680" s="8" t="n"/>
      <c r="F680" s="12">
        <f>IF(B680="","",TEXT(B680,"mmm"))</f>
        <v/>
      </c>
    </row>
    <row r="681">
      <c r="B681" s="11" t="n"/>
      <c r="C681" s="7" t="n"/>
      <c r="D681" s="7" t="n"/>
      <c r="E681" s="8" t="n"/>
      <c r="F681" s="12">
        <f>IF(B681="","",TEXT(B681,"mmm"))</f>
        <v/>
      </c>
    </row>
    <row r="682">
      <c r="B682" s="11" t="n"/>
      <c r="C682" s="7" t="n"/>
      <c r="D682" s="7" t="n"/>
      <c r="E682" s="8" t="n"/>
      <c r="F682" s="12">
        <f>IF(B682="","",TEXT(B682,"mmm"))</f>
        <v/>
      </c>
    </row>
    <row r="683">
      <c r="B683" s="11" t="n"/>
      <c r="C683" s="7" t="n"/>
      <c r="D683" s="7" t="n"/>
      <c r="E683" s="8" t="n"/>
      <c r="F683" s="12">
        <f>IF(B683="","",TEXT(B683,"mmm"))</f>
        <v/>
      </c>
    </row>
    <row r="684">
      <c r="B684" s="11" t="n"/>
      <c r="C684" s="7" t="n"/>
      <c r="D684" s="7" t="n"/>
      <c r="E684" s="8" t="n"/>
      <c r="F684" s="12">
        <f>IF(B684="","",TEXT(B684,"mmm"))</f>
        <v/>
      </c>
    </row>
    <row r="685">
      <c r="B685" s="11" t="n"/>
      <c r="C685" s="7" t="n"/>
      <c r="D685" s="7" t="n"/>
      <c r="E685" s="8" t="n"/>
      <c r="F685" s="12">
        <f>IF(B685="","",TEXT(B685,"mmm"))</f>
        <v/>
      </c>
    </row>
    <row r="686">
      <c r="B686" s="11" t="n"/>
      <c r="C686" s="7" t="n"/>
      <c r="D686" s="7" t="n"/>
      <c r="E686" s="8" t="n"/>
      <c r="F686" s="12">
        <f>IF(B686="","",TEXT(B686,"mmm"))</f>
        <v/>
      </c>
    </row>
    <row r="687">
      <c r="B687" s="11" t="n"/>
      <c r="C687" s="7" t="n"/>
      <c r="D687" s="7" t="n"/>
      <c r="E687" s="8" t="n"/>
      <c r="F687" s="12">
        <f>IF(B687="","",TEXT(B687,"mmm"))</f>
        <v/>
      </c>
    </row>
    <row r="688">
      <c r="B688" s="11" t="n"/>
      <c r="C688" s="7" t="n"/>
      <c r="D688" s="7" t="n"/>
      <c r="E688" s="8" t="n"/>
      <c r="F688" s="12">
        <f>IF(B688="","",TEXT(B688,"mmm"))</f>
        <v/>
      </c>
    </row>
    <row r="689">
      <c r="B689" s="11" t="n"/>
      <c r="C689" s="7" t="n"/>
      <c r="D689" s="7" t="n"/>
      <c r="E689" s="8" t="n"/>
      <c r="F689" s="12">
        <f>IF(B689="","",TEXT(B689,"mmm"))</f>
        <v/>
      </c>
    </row>
    <row r="690">
      <c r="B690" s="11" t="n"/>
      <c r="C690" s="7" t="n"/>
      <c r="D690" s="7" t="n"/>
      <c r="E690" s="8" t="n"/>
      <c r="F690" s="12">
        <f>IF(B690="","",TEXT(B690,"mmm"))</f>
        <v/>
      </c>
    </row>
    <row r="691">
      <c r="B691" s="11" t="n"/>
      <c r="C691" s="7" t="n"/>
      <c r="D691" s="7" t="n"/>
      <c r="E691" s="8" t="n"/>
      <c r="F691" s="12">
        <f>IF(B691="","",TEXT(B691,"mmm"))</f>
        <v/>
      </c>
    </row>
    <row r="692">
      <c r="B692" s="11" t="n"/>
      <c r="C692" s="7" t="n"/>
      <c r="D692" s="7" t="n"/>
      <c r="E692" s="8" t="n"/>
      <c r="F692" s="12">
        <f>IF(B692="","",TEXT(B692,"mmm"))</f>
        <v/>
      </c>
    </row>
    <row r="693">
      <c r="B693" s="11" t="n"/>
      <c r="C693" s="7" t="n"/>
      <c r="D693" s="7" t="n"/>
      <c r="E693" s="8" t="n"/>
      <c r="F693" s="12">
        <f>IF(B693="","",TEXT(B693,"mmm"))</f>
        <v/>
      </c>
    </row>
    <row r="694">
      <c r="B694" s="11" t="n"/>
      <c r="C694" s="7" t="n"/>
      <c r="D694" s="7" t="n"/>
      <c r="E694" s="8" t="n"/>
      <c r="F694" s="12">
        <f>IF(B694="","",TEXT(B694,"mmm"))</f>
        <v/>
      </c>
    </row>
    <row r="695">
      <c r="B695" s="11" t="n"/>
      <c r="C695" s="7" t="n"/>
      <c r="D695" s="7" t="n"/>
      <c r="E695" s="8" t="n"/>
      <c r="F695" s="12">
        <f>IF(B695="","",TEXT(B695,"mmm"))</f>
        <v/>
      </c>
    </row>
    <row r="696">
      <c r="B696" s="11" t="n"/>
      <c r="C696" s="7" t="n"/>
      <c r="D696" s="7" t="n"/>
      <c r="E696" s="8" t="n"/>
      <c r="F696" s="12">
        <f>IF(B696="","",TEXT(B696,"mmm"))</f>
        <v/>
      </c>
    </row>
    <row r="697">
      <c r="B697" s="11" t="n"/>
      <c r="C697" s="7" t="n"/>
      <c r="D697" s="7" t="n"/>
      <c r="E697" s="8" t="n"/>
      <c r="F697" s="12">
        <f>IF(B697="","",TEXT(B697,"mmm"))</f>
        <v/>
      </c>
    </row>
    <row r="698">
      <c r="B698" s="11" t="n"/>
      <c r="C698" s="7" t="n"/>
      <c r="D698" s="7" t="n"/>
      <c r="E698" s="8" t="n"/>
      <c r="F698" s="12">
        <f>IF(B698="","",TEXT(B698,"mmm"))</f>
        <v/>
      </c>
    </row>
    <row r="699">
      <c r="B699" s="11" t="n"/>
      <c r="C699" s="7" t="n"/>
      <c r="D699" s="7" t="n"/>
      <c r="E699" s="8" t="n"/>
      <c r="F699" s="12">
        <f>IF(B699="","",TEXT(B699,"mmm"))</f>
        <v/>
      </c>
    </row>
    <row r="700">
      <c r="B700" s="11" t="n"/>
      <c r="C700" s="7" t="n"/>
      <c r="D700" s="7" t="n"/>
      <c r="E700" s="8" t="n"/>
      <c r="F700" s="12">
        <f>IF(B700="","",TEXT(B700,"mmm"))</f>
        <v/>
      </c>
    </row>
    <row r="701">
      <c r="B701" s="11" t="n"/>
      <c r="C701" s="7" t="n"/>
      <c r="D701" s="7" t="n"/>
      <c r="E701" s="8" t="n"/>
      <c r="F701" s="12">
        <f>IF(B701="","",TEXT(B701,"mmm"))</f>
        <v/>
      </c>
    </row>
    <row r="702">
      <c r="B702" s="11" t="n"/>
      <c r="C702" s="7" t="n"/>
      <c r="D702" s="7" t="n"/>
      <c r="E702" s="8" t="n"/>
      <c r="F702" s="12">
        <f>IF(B702="","",TEXT(B702,"mmm"))</f>
        <v/>
      </c>
    </row>
    <row r="703">
      <c r="B703" s="11" t="n"/>
      <c r="C703" s="7" t="n"/>
      <c r="D703" s="7" t="n"/>
      <c r="E703" s="8" t="n"/>
      <c r="F703" s="12">
        <f>IF(B703="","",TEXT(B703,"mmm"))</f>
        <v/>
      </c>
    </row>
    <row r="704">
      <c r="B704" s="11" t="n"/>
      <c r="C704" s="7" t="n"/>
      <c r="D704" s="7" t="n"/>
      <c r="E704" s="8" t="n"/>
      <c r="F704" s="12">
        <f>IF(B704="","",TEXT(B704,"mmm"))</f>
        <v/>
      </c>
    </row>
    <row r="705">
      <c r="B705" s="11" t="n"/>
      <c r="C705" s="7" t="n"/>
      <c r="D705" s="7" t="n"/>
      <c r="E705" s="8" t="n"/>
      <c r="F705" s="12">
        <f>IF(B705="","",TEXT(B705,"mmm"))</f>
        <v/>
      </c>
    </row>
    <row r="706">
      <c r="B706" s="11" t="n"/>
      <c r="C706" s="7" t="n"/>
      <c r="D706" s="7" t="n"/>
      <c r="E706" s="8" t="n"/>
      <c r="F706" s="12">
        <f>IF(B706="","",TEXT(B706,"mmm"))</f>
        <v/>
      </c>
    </row>
    <row r="707">
      <c r="B707" s="11" t="n"/>
      <c r="C707" s="7" t="n"/>
      <c r="D707" s="7" t="n"/>
      <c r="E707" s="8" t="n"/>
      <c r="F707" s="12">
        <f>IF(B707="","",TEXT(B707,"mmm"))</f>
        <v/>
      </c>
    </row>
    <row r="708">
      <c r="B708" s="11" t="n"/>
      <c r="C708" s="7" t="n"/>
      <c r="D708" s="7" t="n"/>
      <c r="E708" s="8" t="n"/>
      <c r="F708" s="12">
        <f>IF(B708="","",TEXT(B708,"mmm"))</f>
        <v/>
      </c>
    </row>
    <row r="709">
      <c r="B709" s="11" t="n"/>
      <c r="C709" s="7" t="n"/>
      <c r="D709" s="7" t="n"/>
      <c r="E709" s="8" t="n"/>
      <c r="F709" s="12">
        <f>IF(B709="","",TEXT(B709,"mmm"))</f>
        <v/>
      </c>
    </row>
    <row r="710">
      <c r="B710" s="11" t="n"/>
      <c r="C710" s="7" t="n"/>
      <c r="D710" s="7" t="n"/>
      <c r="E710" s="8" t="n"/>
      <c r="F710" s="12">
        <f>IF(B710="","",TEXT(B710,"mmm"))</f>
        <v/>
      </c>
    </row>
    <row r="711">
      <c r="B711" s="11" t="n"/>
      <c r="C711" s="7" t="n"/>
      <c r="D711" s="7" t="n"/>
      <c r="E711" s="8" t="n"/>
      <c r="F711" s="12">
        <f>IF(B711="","",TEXT(B711,"mmm"))</f>
        <v/>
      </c>
    </row>
    <row r="712">
      <c r="B712" s="11" t="n"/>
      <c r="C712" s="7" t="n"/>
      <c r="D712" s="7" t="n"/>
      <c r="E712" s="8" t="n"/>
      <c r="F712" s="12">
        <f>IF(B712="","",TEXT(B712,"mmm"))</f>
        <v/>
      </c>
    </row>
    <row r="713">
      <c r="B713" s="11" t="n"/>
      <c r="C713" s="7" t="n"/>
      <c r="D713" s="7" t="n"/>
      <c r="E713" s="8" t="n"/>
      <c r="F713" s="12">
        <f>IF(B713="","",TEXT(B713,"mmm"))</f>
        <v/>
      </c>
    </row>
    <row r="714">
      <c r="B714" s="11" t="n"/>
      <c r="C714" s="7" t="n"/>
      <c r="D714" s="7" t="n"/>
      <c r="E714" s="8" t="n"/>
      <c r="F714" s="12">
        <f>IF(B714="","",TEXT(B714,"mmm"))</f>
        <v/>
      </c>
    </row>
    <row r="715">
      <c r="B715" s="11" t="n"/>
      <c r="C715" s="7" t="n"/>
      <c r="D715" s="7" t="n"/>
      <c r="E715" s="8" t="n"/>
      <c r="F715" s="12">
        <f>IF(B715="","",TEXT(B715,"mmm"))</f>
        <v/>
      </c>
    </row>
    <row r="716">
      <c r="B716" s="11" t="n"/>
      <c r="C716" s="7" t="n"/>
      <c r="D716" s="7" t="n"/>
      <c r="E716" s="8" t="n"/>
      <c r="F716" s="12">
        <f>IF(B716="","",TEXT(B716,"mmm"))</f>
        <v/>
      </c>
    </row>
    <row r="717">
      <c r="B717" s="11" t="n"/>
      <c r="C717" s="7" t="n"/>
      <c r="D717" s="7" t="n"/>
      <c r="E717" s="8" t="n"/>
      <c r="F717" s="12">
        <f>IF(B717="","",TEXT(B717,"mmm"))</f>
        <v/>
      </c>
    </row>
    <row r="718">
      <c r="B718" s="11" t="n"/>
      <c r="C718" s="7" t="n"/>
      <c r="D718" s="7" t="n"/>
      <c r="E718" s="8" t="n"/>
      <c r="F718" s="12">
        <f>IF(B718="","",TEXT(B718,"mmm"))</f>
        <v/>
      </c>
    </row>
    <row r="719">
      <c r="B719" s="11" t="n"/>
      <c r="C719" s="7" t="n"/>
      <c r="D719" s="7" t="n"/>
      <c r="E719" s="8" t="n"/>
      <c r="F719" s="12">
        <f>IF(B719="","",TEXT(B719,"mmm"))</f>
        <v/>
      </c>
    </row>
    <row r="720">
      <c r="B720" s="11" t="n"/>
      <c r="C720" s="7" t="n"/>
      <c r="D720" s="7" t="n"/>
      <c r="E720" s="8" t="n"/>
      <c r="F720" s="12">
        <f>IF(B720="","",TEXT(B720,"mmm"))</f>
        <v/>
      </c>
    </row>
    <row r="721">
      <c r="B721" s="11" t="n"/>
      <c r="C721" s="7" t="n"/>
      <c r="D721" s="7" t="n"/>
      <c r="E721" s="8" t="n"/>
      <c r="F721" s="12">
        <f>IF(B721="","",TEXT(B721,"mmm"))</f>
        <v/>
      </c>
    </row>
    <row r="722">
      <c r="B722" s="11" t="n"/>
      <c r="C722" s="7" t="n"/>
      <c r="D722" s="7" t="n"/>
      <c r="E722" s="8" t="n"/>
      <c r="F722" s="12">
        <f>IF(B722="","",TEXT(B722,"mmm"))</f>
        <v/>
      </c>
    </row>
    <row r="723">
      <c r="B723" s="11" t="n"/>
      <c r="C723" s="7" t="n"/>
      <c r="D723" s="7" t="n"/>
      <c r="E723" s="8" t="n"/>
      <c r="F723" s="12">
        <f>IF(B723="","",TEXT(B723,"mmm"))</f>
        <v/>
      </c>
    </row>
    <row r="724">
      <c r="B724" s="11" t="n"/>
      <c r="C724" s="7" t="n"/>
      <c r="D724" s="7" t="n"/>
      <c r="E724" s="8" t="n"/>
      <c r="F724" s="12">
        <f>IF(B724="","",TEXT(B724,"mmm"))</f>
        <v/>
      </c>
    </row>
    <row r="725">
      <c r="B725" s="11" t="n"/>
      <c r="C725" s="7" t="n"/>
      <c r="D725" s="7" t="n"/>
      <c r="E725" s="8" t="n"/>
      <c r="F725" s="12">
        <f>IF(B725="","",TEXT(B725,"mmm"))</f>
        <v/>
      </c>
    </row>
    <row r="726">
      <c r="B726" s="11" t="n"/>
      <c r="C726" s="7" t="n"/>
      <c r="D726" s="7" t="n"/>
      <c r="E726" s="8" t="n"/>
      <c r="F726" s="12">
        <f>IF(B726="","",TEXT(B726,"mmm"))</f>
        <v/>
      </c>
    </row>
    <row r="727">
      <c r="B727" s="11" t="n"/>
      <c r="C727" s="7" t="n"/>
      <c r="D727" s="7" t="n"/>
      <c r="E727" s="8" t="n"/>
      <c r="F727" s="12">
        <f>IF(B727="","",TEXT(B727,"mmm"))</f>
        <v/>
      </c>
    </row>
    <row r="728">
      <c r="B728" s="11" t="n"/>
      <c r="C728" s="7" t="n"/>
      <c r="D728" s="7" t="n"/>
      <c r="E728" s="8" t="n"/>
      <c r="F728" s="12">
        <f>IF(B728="","",TEXT(B728,"mmm"))</f>
        <v/>
      </c>
    </row>
    <row r="729">
      <c r="B729" s="11" t="n"/>
      <c r="C729" s="7" t="n"/>
      <c r="D729" s="7" t="n"/>
      <c r="E729" s="8" t="n"/>
      <c r="F729" s="12">
        <f>IF(B729="","",TEXT(B729,"mmm"))</f>
        <v/>
      </c>
    </row>
    <row r="730">
      <c r="B730" s="11" t="n"/>
      <c r="C730" s="7" t="n"/>
      <c r="D730" s="7" t="n"/>
      <c r="E730" s="8" t="n"/>
      <c r="F730" s="12">
        <f>IF(B730="","",TEXT(B730,"mmm"))</f>
        <v/>
      </c>
    </row>
    <row r="731">
      <c r="B731" s="11" t="n"/>
      <c r="C731" s="7" t="n"/>
      <c r="D731" s="7" t="n"/>
      <c r="E731" s="8" t="n"/>
      <c r="F731" s="12">
        <f>IF(B731="","",TEXT(B731,"mmm"))</f>
        <v/>
      </c>
    </row>
    <row r="732">
      <c r="B732" s="11" t="n"/>
      <c r="C732" s="7" t="n"/>
      <c r="D732" s="7" t="n"/>
      <c r="E732" s="8" t="n"/>
      <c r="F732" s="12">
        <f>IF(B732="","",TEXT(B732,"mmm"))</f>
        <v/>
      </c>
    </row>
    <row r="733">
      <c r="B733" s="11" t="n"/>
      <c r="C733" s="7" t="n"/>
      <c r="D733" s="7" t="n"/>
      <c r="E733" s="8" t="n"/>
      <c r="F733" s="12">
        <f>IF(B733="","",TEXT(B733,"mmm"))</f>
        <v/>
      </c>
    </row>
    <row r="734">
      <c r="B734" s="11" t="n"/>
      <c r="C734" s="7" t="n"/>
      <c r="D734" s="7" t="n"/>
      <c r="E734" s="8" t="n"/>
      <c r="F734" s="12">
        <f>IF(B734="","",TEXT(B734,"mmm"))</f>
        <v/>
      </c>
    </row>
    <row r="735">
      <c r="B735" s="11" t="n"/>
      <c r="C735" s="7" t="n"/>
      <c r="D735" s="7" t="n"/>
      <c r="E735" s="8" t="n"/>
      <c r="F735" s="12">
        <f>IF(B735="","",TEXT(B735,"mmm"))</f>
        <v/>
      </c>
    </row>
    <row r="736">
      <c r="B736" s="11" t="n"/>
      <c r="C736" s="7" t="n"/>
      <c r="D736" s="7" t="n"/>
      <c r="E736" s="8" t="n"/>
      <c r="F736" s="12">
        <f>IF(B736="","",TEXT(B736,"mmm"))</f>
        <v/>
      </c>
    </row>
    <row r="737">
      <c r="B737" s="11" t="n"/>
      <c r="C737" s="7" t="n"/>
      <c r="D737" s="7" t="n"/>
      <c r="E737" s="8" t="n"/>
      <c r="F737" s="12">
        <f>IF(B737="","",TEXT(B737,"mmm"))</f>
        <v/>
      </c>
    </row>
    <row r="738">
      <c r="B738" s="11" t="n"/>
      <c r="C738" s="7" t="n"/>
      <c r="D738" s="7" t="n"/>
      <c r="E738" s="8" t="n"/>
      <c r="F738" s="12">
        <f>IF(B738="","",TEXT(B738,"mmm"))</f>
        <v/>
      </c>
    </row>
    <row r="739">
      <c r="B739" s="11" t="n"/>
      <c r="C739" s="7" t="n"/>
      <c r="D739" s="7" t="n"/>
      <c r="E739" s="8" t="n"/>
      <c r="F739" s="12">
        <f>IF(B739="","",TEXT(B739,"mmm"))</f>
        <v/>
      </c>
    </row>
    <row r="740">
      <c r="B740" s="11" t="n"/>
      <c r="C740" s="7" t="n"/>
      <c r="D740" s="7" t="n"/>
      <c r="E740" s="8" t="n"/>
      <c r="F740" s="12">
        <f>IF(B740="","",TEXT(B740,"mmm"))</f>
        <v/>
      </c>
    </row>
    <row r="741">
      <c r="B741" s="11" t="n"/>
      <c r="C741" s="7" t="n"/>
      <c r="D741" s="7" t="n"/>
      <c r="E741" s="8" t="n"/>
      <c r="F741" s="12">
        <f>IF(B741="","",TEXT(B741,"mmm"))</f>
        <v/>
      </c>
    </row>
    <row r="742">
      <c r="B742" s="11" t="n"/>
      <c r="C742" s="7" t="n"/>
      <c r="D742" s="7" t="n"/>
      <c r="E742" s="8" t="n"/>
      <c r="F742" s="12">
        <f>IF(B742="","",TEXT(B742,"mmm"))</f>
        <v/>
      </c>
    </row>
    <row r="743">
      <c r="B743" s="11" t="n"/>
      <c r="C743" s="7" t="n"/>
      <c r="D743" s="7" t="n"/>
      <c r="E743" s="8" t="n"/>
      <c r="F743" s="12">
        <f>IF(B743="","",TEXT(B743,"mmm"))</f>
        <v/>
      </c>
    </row>
    <row r="744">
      <c r="B744" s="11" t="n"/>
      <c r="C744" s="7" t="n"/>
      <c r="D744" s="7" t="n"/>
      <c r="E744" s="8" t="n"/>
      <c r="F744" s="12">
        <f>IF(B744="","",TEXT(B744,"mmm"))</f>
        <v/>
      </c>
    </row>
    <row r="745">
      <c r="B745" s="11" t="n"/>
      <c r="C745" s="7" t="n"/>
      <c r="D745" s="7" t="n"/>
      <c r="E745" s="8" t="n"/>
      <c r="F745" s="12">
        <f>IF(B745="","",TEXT(B745,"mmm"))</f>
        <v/>
      </c>
    </row>
    <row r="746">
      <c r="B746" s="11" t="n"/>
      <c r="C746" s="7" t="n"/>
      <c r="D746" s="7" t="n"/>
      <c r="E746" s="8" t="n"/>
      <c r="F746" s="12">
        <f>IF(B746="","",TEXT(B746,"mmm"))</f>
        <v/>
      </c>
    </row>
    <row r="747">
      <c r="B747" s="11" t="n"/>
      <c r="C747" s="7" t="n"/>
      <c r="D747" s="7" t="n"/>
      <c r="E747" s="8" t="n"/>
      <c r="F747" s="12">
        <f>IF(B747="","",TEXT(B747,"mmm"))</f>
        <v/>
      </c>
    </row>
    <row r="748">
      <c r="B748" s="11" t="n"/>
      <c r="C748" s="7" t="n"/>
      <c r="D748" s="7" t="n"/>
      <c r="E748" s="8" t="n"/>
      <c r="F748" s="12">
        <f>IF(B748="","",TEXT(B748,"mmm"))</f>
        <v/>
      </c>
    </row>
    <row r="749">
      <c r="B749" s="11" t="n"/>
      <c r="C749" s="7" t="n"/>
      <c r="D749" s="7" t="n"/>
      <c r="E749" s="8" t="n"/>
      <c r="F749" s="12">
        <f>IF(B749="","",TEXT(B749,"mmm"))</f>
        <v/>
      </c>
    </row>
    <row r="750">
      <c r="B750" s="11" t="n"/>
      <c r="C750" s="7" t="n"/>
      <c r="D750" s="7" t="n"/>
      <c r="E750" s="8" t="n"/>
      <c r="F750" s="12">
        <f>IF(B750="","",TEXT(B750,"mmm"))</f>
        <v/>
      </c>
    </row>
    <row r="751">
      <c r="B751" s="11" t="n"/>
      <c r="C751" s="7" t="n"/>
      <c r="D751" s="7" t="n"/>
      <c r="E751" s="8" t="n"/>
      <c r="F751" s="12">
        <f>IF(B751="","",TEXT(B751,"mmm"))</f>
        <v/>
      </c>
    </row>
    <row r="752">
      <c r="B752" s="11" t="n"/>
      <c r="C752" s="7" t="n"/>
      <c r="D752" s="7" t="n"/>
      <c r="E752" s="8" t="n"/>
      <c r="F752" s="12">
        <f>IF(B752="","",TEXT(B752,"mmm"))</f>
        <v/>
      </c>
    </row>
    <row r="753">
      <c r="B753" s="11" t="n"/>
      <c r="C753" s="7" t="n"/>
      <c r="D753" s="7" t="n"/>
      <c r="E753" s="8" t="n"/>
      <c r="F753" s="12">
        <f>IF(B753="","",TEXT(B753,"mmm"))</f>
        <v/>
      </c>
    </row>
    <row r="754">
      <c r="B754" s="11" t="n"/>
      <c r="C754" s="7" t="n"/>
      <c r="D754" s="7" t="n"/>
      <c r="E754" s="8" t="n"/>
      <c r="F754" s="12">
        <f>IF(B754="","",TEXT(B754,"mmm"))</f>
        <v/>
      </c>
    </row>
    <row r="755">
      <c r="B755" s="11" t="n"/>
      <c r="C755" s="7" t="n"/>
      <c r="D755" s="7" t="n"/>
      <c r="E755" s="8" t="n"/>
      <c r="F755" s="12">
        <f>IF(B755="","",TEXT(B755,"mmm"))</f>
        <v/>
      </c>
    </row>
    <row r="756">
      <c r="B756" s="11" t="n"/>
      <c r="C756" s="7" t="n"/>
      <c r="D756" s="7" t="n"/>
      <c r="E756" s="8" t="n"/>
      <c r="F756" s="12">
        <f>IF(B756="","",TEXT(B756,"mmm"))</f>
        <v/>
      </c>
    </row>
    <row r="757">
      <c r="B757" s="11" t="n"/>
      <c r="C757" s="7" t="n"/>
      <c r="D757" s="7" t="n"/>
      <c r="E757" s="8" t="n"/>
      <c r="F757" s="12">
        <f>IF(B757="","",TEXT(B757,"mmm"))</f>
        <v/>
      </c>
    </row>
    <row r="758">
      <c r="B758" s="11" t="n"/>
      <c r="C758" s="7" t="n"/>
      <c r="D758" s="7" t="n"/>
      <c r="E758" s="8" t="n"/>
      <c r="F758" s="12">
        <f>IF(B758="","",TEXT(B758,"mmm"))</f>
        <v/>
      </c>
    </row>
    <row r="759">
      <c r="B759" s="11" t="n"/>
      <c r="C759" s="7" t="n"/>
      <c r="D759" s="7" t="n"/>
      <c r="E759" s="8" t="n"/>
      <c r="F759" s="12">
        <f>IF(B759="","",TEXT(B759,"mmm"))</f>
        <v/>
      </c>
    </row>
    <row r="760">
      <c r="B760" s="11" t="n"/>
      <c r="C760" s="7" t="n"/>
      <c r="D760" s="7" t="n"/>
      <c r="E760" s="8" t="n"/>
      <c r="F760" s="12">
        <f>IF(B760="","",TEXT(B760,"mmm"))</f>
        <v/>
      </c>
    </row>
    <row r="761">
      <c r="B761" s="11" t="n"/>
      <c r="C761" s="7" t="n"/>
      <c r="D761" s="7" t="n"/>
      <c r="E761" s="8" t="n"/>
      <c r="F761" s="12">
        <f>IF(B761="","",TEXT(B761,"mmm"))</f>
        <v/>
      </c>
    </row>
    <row r="762">
      <c r="B762" s="11" t="n"/>
      <c r="C762" s="7" t="n"/>
      <c r="D762" s="7" t="n"/>
      <c r="E762" s="8" t="n"/>
      <c r="F762" s="12">
        <f>IF(B762="","",TEXT(B762,"mmm"))</f>
        <v/>
      </c>
    </row>
    <row r="763">
      <c r="B763" s="11" t="n"/>
      <c r="C763" s="7" t="n"/>
      <c r="D763" s="7" t="n"/>
      <c r="E763" s="8" t="n"/>
      <c r="F763" s="12">
        <f>IF(B763="","",TEXT(B763,"mmm"))</f>
        <v/>
      </c>
    </row>
    <row r="764">
      <c r="B764" s="11" t="n"/>
      <c r="C764" s="7" t="n"/>
      <c r="D764" s="7" t="n"/>
      <c r="E764" s="8" t="n"/>
      <c r="F764" s="12">
        <f>IF(B764="","",TEXT(B764,"mmm"))</f>
        <v/>
      </c>
    </row>
    <row r="765">
      <c r="B765" s="11" t="n"/>
      <c r="C765" s="7" t="n"/>
      <c r="D765" s="7" t="n"/>
      <c r="E765" s="8" t="n"/>
      <c r="F765" s="12">
        <f>IF(B765="","",TEXT(B765,"mmm"))</f>
        <v/>
      </c>
    </row>
    <row r="766">
      <c r="B766" s="11" t="n"/>
      <c r="C766" s="7" t="n"/>
      <c r="D766" s="7" t="n"/>
      <c r="E766" s="8" t="n"/>
      <c r="F766" s="12">
        <f>IF(B766="","",TEXT(B766,"mmm"))</f>
        <v/>
      </c>
    </row>
    <row r="767">
      <c r="B767" s="11" t="n"/>
      <c r="C767" s="7" t="n"/>
      <c r="D767" s="7" t="n"/>
      <c r="E767" s="8" t="n"/>
      <c r="F767" s="12">
        <f>IF(B767="","",TEXT(B767,"mmm"))</f>
        <v/>
      </c>
    </row>
    <row r="768">
      <c r="B768" s="11" t="n"/>
      <c r="C768" s="7" t="n"/>
      <c r="D768" s="7" t="n"/>
      <c r="E768" s="8" t="n"/>
      <c r="F768" s="12">
        <f>IF(B768="","",TEXT(B768,"mmm"))</f>
        <v/>
      </c>
    </row>
    <row r="769">
      <c r="B769" s="11" t="n"/>
      <c r="C769" s="7" t="n"/>
      <c r="D769" s="7" t="n"/>
      <c r="E769" s="8" t="n"/>
      <c r="F769" s="12">
        <f>IF(B769="","",TEXT(B769,"mmm"))</f>
        <v/>
      </c>
    </row>
    <row r="770">
      <c r="B770" s="11" t="n"/>
      <c r="C770" s="7" t="n"/>
      <c r="D770" s="7" t="n"/>
      <c r="E770" s="8" t="n"/>
      <c r="F770" s="12">
        <f>IF(B770="","",TEXT(B770,"mmm"))</f>
        <v/>
      </c>
    </row>
    <row r="771">
      <c r="B771" s="11" t="n"/>
      <c r="C771" s="7" t="n"/>
      <c r="D771" s="7" t="n"/>
      <c r="E771" s="8" t="n"/>
      <c r="F771" s="12">
        <f>IF(B771="","",TEXT(B771,"mmm"))</f>
        <v/>
      </c>
    </row>
    <row r="772">
      <c r="B772" s="11" t="n"/>
      <c r="C772" s="7" t="n"/>
      <c r="D772" s="7" t="n"/>
      <c r="E772" s="8" t="n"/>
      <c r="F772" s="12">
        <f>IF(B772="","",TEXT(B772,"mmm"))</f>
        <v/>
      </c>
    </row>
    <row r="773">
      <c r="B773" s="11" t="n"/>
      <c r="C773" s="7" t="n"/>
      <c r="D773" s="7" t="n"/>
      <c r="E773" s="8" t="n"/>
      <c r="F773" s="12">
        <f>IF(B773="","",TEXT(B773,"mmm"))</f>
        <v/>
      </c>
    </row>
    <row r="774">
      <c r="B774" s="11" t="n"/>
      <c r="C774" s="7" t="n"/>
      <c r="D774" s="7" t="n"/>
      <c r="E774" s="8" t="n"/>
      <c r="F774" s="12">
        <f>IF(B774="","",TEXT(B774,"mmm"))</f>
        <v/>
      </c>
    </row>
    <row r="775">
      <c r="B775" s="11" t="n"/>
      <c r="C775" s="7" t="n"/>
      <c r="D775" s="7" t="n"/>
      <c r="E775" s="8" t="n"/>
      <c r="F775" s="12">
        <f>IF(B775="","",TEXT(B775,"mmm"))</f>
        <v/>
      </c>
    </row>
    <row r="776">
      <c r="B776" s="11" t="n"/>
      <c r="C776" s="7" t="n"/>
      <c r="D776" s="7" t="n"/>
      <c r="E776" s="8" t="n"/>
      <c r="F776" s="12">
        <f>IF(B776="","",TEXT(B776,"mmm"))</f>
        <v/>
      </c>
    </row>
    <row r="777">
      <c r="B777" s="11" t="n"/>
      <c r="C777" s="7" t="n"/>
      <c r="D777" s="7" t="n"/>
      <c r="E777" s="8" t="n"/>
      <c r="F777" s="12">
        <f>IF(B777="","",TEXT(B777,"mmm"))</f>
        <v/>
      </c>
    </row>
    <row r="778">
      <c r="B778" s="11" t="n"/>
      <c r="C778" s="7" t="n"/>
      <c r="D778" s="7" t="n"/>
      <c r="E778" s="8" t="n"/>
      <c r="F778" s="12">
        <f>IF(B778="","",TEXT(B778,"mmm"))</f>
        <v/>
      </c>
    </row>
    <row r="779">
      <c r="B779" s="11" t="n"/>
      <c r="C779" s="7" t="n"/>
      <c r="D779" s="7" t="n"/>
      <c r="E779" s="8" t="n"/>
      <c r="F779" s="12">
        <f>IF(B779="","",TEXT(B779,"mmm"))</f>
        <v/>
      </c>
    </row>
    <row r="780">
      <c r="B780" s="11" t="n"/>
      <c r="C780" s="7" t="n"/>
      <c r="D780" s="7" t="n"/>
      <c r="E780" s="8" t="n"/>
      <c r="F780" s="12">
        <f>IF(B780="","",TEXT(B780,"mmm"))</f>
        <v/>
      </c>
    </row>
    <row r="781">
      <c r="B781" s="11" t="n"/>
      <c r="C781" s="7" t="n"/>
      <c r="D781" s="7" t="n"/>
      <c r="E781" s="8" t="n"/>
      <c r="F781" s="12">
        <f>IF(B781="","",TEXT(B781,"mmm"))</f>
        <v/>
      </c>
    </row>
    <row r="782">
      <c r="B782" s="11" t="n"/>
      <c r="C782" s="7" t="n"/>
      <c r="D782" s="7" t="n"/>
      <c r="E782" s="8" t="n"/>
      <c r="F782" s="12">
        <f>IF(B782="","",TEXT(B782,"mmm"))</f>
        <v/>
      </c>
    </row>
    <row r="783">
      <c r="B783" s="11" t="n"/>
      <c r="C783" s="7" t="n"/>
      <c r="D783" s="7" t="n"/>
      <c r="E783" s="8" t="n"/>
      <c r="F783" s="12">
        <f>IF(B783="","",TEXT(B783,"mmm"))</f>
        <v/>
      </c>
    </row>
    <row r="784">
      <c r="B784" s="11" t="n"/>
      <c r="C784" s="7" t="n"/>
      <c r="D784" s="7" t="n"/>
      <c r="E784" s="8" t="n"/>
      <c r="F784" s="12">
        <f>IF(B784="","",TEXT(B784,"mmm"))</f>
        <v/>
      </c>
    </row>
    <row r="785">
      <c r="B785" s="11" t="n"/>
      <c r="C785" s="7" t="n"/>
      <c r="D785" s="7" t="n"/>
      <c r="E785" s="8" t="n"/>
      <c r="F785" s="12">
        <f>IF(B785="","",TEXT(B785,"mmm"))</f>
        <v/>
      </c>
    </row>
    <row r="786">
      <c r="B786" s="11" t="n"/>
      <c r="C786" s="7" t="n"/>
      <c r="D786" s="7" t="n"/>
      <c r="E786" s="8" t="n"/>
      <c r="F786" s="12">
        <f>IF(B786="","",TEXT(B786,"mmm"))</f>
        <v/>
      </c>
    </row>
    <row r="787">
      <c r="B787" s="11" t="n"/>
      <c r="C787" s="7" t="n"/>
      <c r="D787" s="7" t="n"/>
      <c r="E787" s="8" t="n"/>
      <c r="F787" s="12">
        <f>IF(B787="","",TEXT(B787,"mmm"))</f>
        <v/>
      </c>
    </row>
    <row r="788">
      <c r="B788" s="11" t="n"/>
      <c r="C788" s="7" t="n"/>
      <c r="D788" s="7" t="n"/>
      <c r="E788" s="8" t="n"/>
      <c r="F788" s="12">
        <f>IF(B788="","",TEXT(B788,"mmm"))</f>
        <v/>
      </c>
    </row>
    <row r="789">
      <c r="B789" s="11" t="n"/>
      <c r="C789" s="7" t="n"/>
      <c r="D789" s="7" t="n"/>
      <c r="E789" s="8" t="n"/>
      <c r="F789" s="12">
        <f>IF(B789="","",TEXT(B789,"mmm"))</f>
        <v/>
      </c>
    </row>
    <row r="790">
      <c r="B790" s="11" t="n"/>
      <c r="C790" s="7" t="n"/>
      <c r="D790" s="7" t="n"/>
      <c r="E790" s="8" t="n"/>
      <c r="F790" s="12">
        <f>IF(B790="","",TEXT(B790,"mmm"))</f>
        <v/>
      </c>
    </row>
    <row r="791">
      <c r="B791" s="11" t="n"/>
      <c r="C791" s="7" t="n"/>
      <c r="D791" s="7" t="n"/>
      <c r="E791" s="8" t="n"/>
      <c r="F791" s="12">
        <f>IF(B791="","",TEXT(B791,"mmm"))</f>
        <v/>
      </c>
    </row>
    <row r="792">
      <c r="B792" s="11" t="n"/>
      <c r="C792" s="7" t="n"/>
      <c r="D792" s="7" t="n"/>
      <c r="E792" s="8" t="n"/>
      <c r="F792" s="12">
        <f>IF(B792="","",TEXT(B792,"mmm"))</f>
        <v/>
      </c>
    </row>
    <row r="793">
      <c r="B793" s="11" t="n"/>
      <c r="C793" s="7" t="n"/>
      <c r="D793" s="7" t="n"/>
      <c r="E793" s="8" t="n"/>
      <c r="F793" s="12">
        <f>IF(B793="","",TEXT(B793,"mmm"))</f>
        <v/>
      </c>
    </row>
    <row r="794">
      <c r="B794" s="11" t="n"/>
      <c r="C794" s="7" t="n"/>
      <c r="D794" s="7" t="n"/>
      <c r="E794" s="8" t="n"/>
      <c r="F794" s="12">
        <f>IF(B794="","",TEXT(B794,"mmm"))</f>
        <v/>
      </c>
    </row>
    <row r="795">
      <c r="B795" s="11" t="n"/>
      <c r="C795" s="7" t="n"/>
      <c r="D795" s="7" t="n"/>
      <c r="E795" s="8" t="n"/>
      <c r="F795" s="12">
        <f>IF(B795="","",TEXT(B795,"mmm"))</f>
        <v/>
      </c>
    </row>
    <row r="796">
      <c r="B796" s="11" t="n"/>
      <c r="C796" s="7" t="n"/>
      <c r="D796" s="7" t="n"/>
      <c r="E796" s="8" t="n"/>
      <c r="F796" s="12">
        <f>IF(B796="","",TEXT(B796,"mmm"))</f>
        <v/>
      </c>
    </row>
    <row r="797">
      <c r="B797" s="11" t="n"/>
      <c r="C797" s="7" t="n"/>
      <c r="D797" s="7" t="n"/>
      <c r="E797" s="8" t="n"/>
      <c r="F797" s="12">
        <f>IF(B797="","",TEXT(B797,"mmm"))</f>
        <v/>
      </c>
    </row>
    <row r="798">
      <c r="B798" s="11" t="n"/>
      <c r="C798" s="7" t="n"/>
      <c r="D798" s="7" t="n"/>
      <c r="E798" s="8" t="n"/>
      <c r="F798" s="12">
        <f>IF(B798="","",TEXT(B798,"mmm"))</f>
        <v/>
      </c>
    </row>
    <row r="799">
      <c r="B799" s="11" t="n"/>
      <c r="C799" s="7" t="n"/>
      <c r="D799" s="7" t="n"/>
      <c r="E799" s="8" t="n"/>
      <c r="F799" s="12">
        <f>IF(B799="","",TEXT(B799,"mmm"))</f>
        <v/>
      </c>
    </row>
    <row r="800">
      <c r="B800" s="11" t="n"/>
      <c r="C800" s="7" t="n"/>
      <c r="D800" s="7" t="n"/>
      <c r="E800" s="8" t="n"/>
      <c r="F800" s="12">
        <f>IF(B800="","",TEXT(B800,"mmm"))</f>
        <v/>
      </c>
    </row>
    <row r="801">
      <c r="B801" s="11" t="n"/>
      <c r="C801" s="7" t="n"/>
      <c r="D801" s="7" t="n"/>
      <c r="E801" s="8" t="n"/>
      <c r="F801" s="12">
        <f>IF(B801="","",TEXT(B801,"mmm"))</f>
        <v/>
      </c>
    </row>
    <row r="802">
      <c r="B802" s="11" t="n"/>
      <c r="C802" s="7" t="n"/>
      <c r="D802" s="7" t="n"/>
      <c r="E802" s="8" t="n"/>
      <c r="F802" s="12">
        <f>IF(B802="","",TEXT(B802,"mmm"))</f>
        <v/>
      </c>
    </row>
    <row r="803">
      <c r="B803" s="11" t="n"/>
      <c r="C803" s="7" t="n"/>
      <c r="D803" s="7" t="n"/>
      <c r="E803" s="8" t="n"/>
      <c r="F803" s="12">
        <f>IF(B803="","",TEXT(B803,"mmm"))</f>
        <v/>
      </c>
    </row>
    <row r="804">
      <c r="B804" s="11" t="n"/>
      <c r="C804" s="7" t="n"/>
      <c r="D804" s="7" t="n"/>
      <c r="E804" s="8" t="n"/>
      <c r="F804" s="12">
        <f>IF(B804="","",TEXT(B804,"mmm"))</f>
        <v/>
      </c>
    </row>
    <row r="805">
      <c r="B805" s="11" t="n"/>
      <c r="C805" s="7" t="n"/>
      <c r="D805" s="7" t="n"/>
      <c r="E805" s="8" t="n"/>
      <c r="F805" s="12">
        <f>IF(B805="","",TEXT(B805,"mmm"))</f>
        <v/>
      </c>
    </row>
    <row r="806">
      <c r="B806" s="11" t="n"/>
      <c r="C806" s="7" t="n"/>
      <c r="D806" s="7" t="n"/>
      <c r="E806" s="8" t="n"/>
      <c r="F806" s="12">
        <f>IF(B806="","",TEXT(B806,"mmm"))</f>
        <v/>
      </c>
    </row>
    <row r="807">
      <c r="B807" s="11" t="n"/>
      <c r="C807" s="7" t="n"/>
      <c r="D807" s="7" t="n"/>
      <c r="E807" s="8" t="n"/>
      <c r="F807" s="12">
        <f>IF(B807="","",TEXT(B807,"mmm"))</f>
        <v/>
      </c>
    </row>
    <row r="808">
      <c r="B808" s="11" t="n"/>
      <c r="C808" s="7" t="n"/>
      <c r="D808" s="7" t="n"/>
      <c r="E808" s="8" t="n"/>
      <c r="F808" s="12">
        <f>IF(B808="","",TEXT(B808,"mmm"))</f>
        <v/>
      </c>
    </row>
    <row r="809">
      <c r="B809" s="11" t="n"/>
      <c r="C809" s="7" t="n"/>
      <c r="D809" s="7" t="n"/>
      <c r="E809" s="8" t="n"/>
      <c r="F809" s="12">
        <f>IF(B809="","",TEXT(B809,"mmm"))</f>
        <v/>
      </c>
    </row>
    <row r="810">
      <c r="B810" s="11" t="n"/>
      <c r="C810" s="7" t="n"/>
      <c r="D810" s="7" t="n"/>
      <c r="E810" s="8" t="n"/>
      <c r="F810" s="12">
        <f>IF(B810="","",TEXT(B810,"mmm"))</f>
        <v/>
      </c>
    </row>
    <row r="811">
      <c r="B811" s="11" t="n"/>
      <c r="C811" s="7" t="n"/>
      <c r="D811" s="7" t="n"/>
      <c r="E811" s="8" t="n"/>
      <c r="F811" s="12">
        <f>IF(B811="","",TEXT(B811,"mmm"))</f>
        <v/>
      </c>
    </row>
    <row r="812">
      <c r="B812" s="11" t="n"/>
      <c r="C812" s="7" t="n"/>
      <c r="D812" s="7" t="n"/>
      <c r="E812" s="8" t="n"/>
      <c r="F812" s="12">
        <f>IF(B812="","",TEXT(B812,"mmm"))</f>
        <v/>
      </c>
    </row>
    <row r="813">
      <c r="B813" s="11" t="n"/>
      <c r="C813" s="7" t="n"/>
      <c r="D813" s="7" t="n"/>
      <c r="E813" s="8" t="n"/>
      <c r="F813" s="12">
        <f>IF(B813="","",TEXT(B813,"mmm"))</f>
        <v/>
      </c>
    </row>
    <row r="814">
      <c r="B814" s="11" t="n"/>
      <c r="C814" s="7" t="n"/>
      <c r="D814" s="7" t="n"/>
      <c r="E814" s="8" t="n"/>
      <c r="F814" s="12">
        <f>IF(B814="","",TEXT(B814,"mmm"))</f>
        <v/>
      </c>
    </row>
    <row r="815">
      <c r="B815" s="11" t="n"/>
      <c r="C815" s="7" t="n"/>
      <c r="D815" s="7" t="n"/>
      <c r="E815" s="8" t="n"/>
      <c r="F815" s="12">
        <f>IF(B815="","",TEXT(B815,"mmm"))</f>
        <v/>
      </c>
    </row>
    <row r="816">
      <c r="B816" s="11" t="n"/>
      <c r="C816" s="7" t="n"/>
      <c r="D816" s="7" t="n"/>
      <c r="E816" s="8" t="n"/>
      <c r="F816" s="12">
        <f>IF(B816="","",TEXT(B816,"mmm"))</f>
        <v/>
      </c>
    </row>
    <row r="817">
      <c r="B817" s="11" t="n"/>
      <c r="C817" s="7" t="n"/>
      <c r="D817" s="7" t="n"/>
      <c r="E817" s="8" t="n"/>
      <c r="F817" s="12">
        <f>IF(B817="","",TEXT(B817,"mmm"))</f>
        <v/>
      </c>
    </row>
    <row r="818">
      <c r="B818" s="11" t="n"/>
      <c r="C818" s="7" t="n"/>
      <c r="D818" s="7" t="n"/>
      <c r="E818" s="8" t="n"/>
      <c r="F818" s="12">
        <f>IF(B818="","",TEXT(B818,"mmm"))</f>
        <v/>
      </c>
    </row>
    <row r="819">
      <c r="B819" s="11" t="n"/>
      <c r="C819" s="7" t="n"/>
      <c r="D819" s="7" t="n"/>
      <c r="E819" s="8" t="n"/>
      <c r="F819" s="12">
        <f>IF(B819="","",TEXT(B819,"mmm"))</f>
        <v/>
      </c>
    </row>
    <row r="820">
      <c r="B820" s="11" t="n"/>
      <c r="C820" s="7" t="n"/>
      <c r="D820" s="7" t="n"/>
      <c r="E820" s="8" t="n"/>
      <c r="F820" s="12">
        <f>IF(B820="","",TEXT(B820,"mmm"))</f>
        <v/>
      </c>
    </row>
    <row r="821">
      <c r="B821" s="11" t="n"/>
      <c r="C821" s="7" t="n"/>
      <c r="D821" s="7" t="n"/>
      <c r="E821" s="8" t="n"/>
      <c r="F821" s="12">
        <f>IF(B821="","",TEXT(B821,"mmm"))</f>
        <v/>
      </c>
    </row>
    <row r="822">
      <c r="B822" s="11" t="n"/>
      <c r="C822" s="7" t="n"/>
      <c r="D822" s="7" t="n"/>
      <c r="E822" s="8" t="n"/>
      <c r="F822" s="12">
        <f>IF(B822="","",TEXT(B822,"mmm"))</f>
        <v/>
      </c>
    </row>
    <row r="823">
      <c r="B823" s="11" t="n"/>
      <c r="C823" s="7" t="n"/>
      <c r="D823" s="7" t="n"/>
      <c r="E823" s="8" t="n"/>
      <c r="F823" s="12">
        <f>IF(B823="","",TEXT(B823,"mmm"))</f>
        <v/>
      </c>
    </row>
    <row r="824">
      <c r="B824" s="11" t="n"/>
      <c r="C824" s="7" t="n"/>
      <c r="D824" s="7" t="n"/>
      <c r="E824" s="8" t="n"/>
      <c r="F824" s="12">
        <f>IF(B824="","",TEXT(B824,"mmm"))</f>
        <v/>
      </c>
    </row>
    <row r="825">
      <c r="B825" s="11" t="n"/>
      <c r="C825" s="7" t="n"/>
      <c r="D825" s="7" t="n"/>
      <c r="E825" s="8" t="n"/>
      <c r="F825" s="12">
        <f>IF(B825="","",TEXT(B825,"mmm"))</f>
        <v/>
      </c>
    </row>
    <row r="826">
      <c r="B826" s="11" t="n"/>
      <c r="C826" s="7" t="n"/>
      <c r="D826" s="7" t="n"/>
      <c r="E826" s="8" t="n"/>
      <c r="F826" s="12">
        <f>IF(B826="","",TEXT(B826,"mmm"))</f>
        <v/>
      </c>
    </row>
    <row r="827">
      <c r="B827" s="11" t="n"/>
      <c r="C827" s="7" t="n"/>
      <c r="D827" s="7" t="n"/>
      <c r="E827" s="8" t="n"/>
      <c r="F827" s="12">
        <f>IF(B827="","",TEXT(B827,"mmm"))</f>
        <v/>
      </c>
    </row>
    <row r="828">
      <c r="B828" s="11" t="n"/>
      <c r="C828" s="7" t="n"/>
      <c r="D828" s="7" t="n"/>
      <c r="E828" s="8" t="n"/>
      <c r="F828" s="12">
        <f>IF(B828="","",TEXT(B828,"mmm"))</f>
        <v/>
      </c>
    </row>
    <row r="829">
      <c r="B829" s="11" t="n"/>
      <c r="C829" s="7" t="n"/>
      <c r="D829" s="7" t="n"/>
      <c r="E829" s="8" t="n"/>
      <c r="F829" s="12">
        <f>IF(B829="","",TEXT(B829,"mmm"))</f>
        <v/>
      </c>
    </row>
    <row r="830">
      <c r="B830" s="11" t="n"/>
      <c r="C830" s="7" t="n"/>
      <c r="D830" s="7" t="n"/>
      <c r="E830" s="8" t="n"/>
      <c r="F830" s="12">
        <f>IF(B830="","",TEXT(B830,"mmm"))</f>
        <v/>
      </c>
    </row>
    <row r="831">
      <c r="B831" s="11" t="n"/>
      <c r="C831" s="7" t="n"/>
      <c r="D831" s="7" t="n"/>
      <c r="E831" s="8" t="n"/>
      <c r="F831" s="12">
        <f>IF(B831="","",TEXT(B831,"mmm"))</f>
        <v/>
      </c>
    </row>
    <row r="832">
      <c r="B832" s="11" t="n"/>
      <c r="C832" s="7" t="n"/>
      <c r="D832" s="7" t="n"/>
      <c r="E832" s="8" t="n"/>
      <c r="F832" s="12">
        <f>IF(B832="","",TEXT(B832,"mmm"))</f>
        <v/>
      </c>
    </row>
    <row r="833">
      <c r="B833" s="11" t="n"/>
      <c r="C833" s="7" t="n"/>
      <c r="D833" s="7" t="n"/>
      <c r="E833" s="8" t="n"/>
      <c r="F833" s="12">
        <f>IF(B833="","",TEXT(B833,"mmm"))</f>
        <v/>
      </c>
    </row>
    <row r="834">
      <c r="B834" s="11" t="n"/>
      <c r="C834" s="7" t="n"/>
      <c r="D834" s="7" t="n"/>
      <c r="E834" s="8" t="n"/>
      <c r="F834" s="12">
        <f>IF(B834="","",TEXT(B834,"mmm"))</f>
        <v/>
      </c>
    </row>
    <row r="835">
      <c r="B835" s="11" t="n"/>
      <c r="C835" s="7" t="n"/>
      <c r="D835" s="7" t="n"/>
      <c r="E835" s="8" t="n"/>
      <c r="F835" s="12">
        <f>IF(B835="","",TEXT(B835,"mmm"))</f>
        <v/>
      </c>
    </row>
    <row r="836">
      <c r="B836" s="11" t="n"/>
      <c r="C836" s="7" t="n"/>
      <c r="D836" s="7" t="n"/>
      <c r="E836" s="8" t="n"/>
      <c r="F836" s="12">
        <f>IF(B836="","",TEXT(B836,"mmm"))</f>
        <v/>
      </c>
    </row>
    <row r="837">
      <c r="B837" s="11" t="n"/>
      <c r="C837" s="7" t="n"/>
      <c r="D837" s="7" t="n"/>
      <c r="E837" s="8" t="n"/>
      <c r="F837" s="12">
        <f>IF(B837="","",TEXT(B837,"mmm"))</f>
        <v/>
      </c>
    </row>
    <row r="838">
      <c r="B838" s="11" t="n"/>
      <c r="C838" s="7" t="n"/>
      <c r="D838" s="7" t="n"/>
      <c r="E838" s="8" t="n"/>
      <c r="F838" s="12">
        <f>IF(B838="","",TEXT(B838,"mmm"))</f>
        <v/>
      </c>
    </row>
    <row r="839">
      <c r="B839" s="11" t="n"/>
      <c r="C839" s="7" t="n"/>
      <c r="D839" s="7" t="n"/>
      <c r="E839" s="8" t="n"/>
      <c r="F839" s="12">
        <f>IF(B839="","",TEXT(B839,"mmm"))</f>
        <v/>
      </c>
    </row>
    <row r="840">
      <c r="B840" s="11" t="n"/>
      <c r="C840" s="7" t="n"/>
      <c r="D840" s="7" t="n"/>
      <c r="E840" s="8" t="n"/>
      <c r="F840" s="12">
        <f>IF(B840="","",TEXT(B840,"mmm"))</f>
        <v/>
      </c>
    </row>
    <row r="841">
      <c r="B841" s="11" t="n"/>
      <c r="C841" s="7" t="n"/>
      <c r="D841" s="7" t="n"/>
      <c r="E841" s="8" t="n"/>
      <c r="F841" s="12">
        <f>IF(B841="","",TEXT(B841,"mmm"))</f>
        <v/>
      </c>
    </row>
    <row r="842">
      <c r="B842" s="11" t="n"/>
      <c r="C842" s="7" t="n"/>
      <c r="D842" s="7" t="n"/>
      <c r="E842" s="8" t="n"/>
      <c r="F842" s="12">
        <f>IF(B842="","",TEXT(B842,"mmm"))</f>
        <v/>
      </c>
    </row>
    <row r="843">
      <c r="B843" s="11" t="n"/>
      <c r="C843" s="7" t="n"/>
      <c r="D843" s="7" t="n"/>
      <c r="E843" s="8" t="n"/>
      <c r="F843" s="12">
        <f>IF(B843="","",TEXT(B843,"mmm"))</f>
        <v/>
      </c>
    </row>
    <row r="844">
      <c r="B844" s="11" t="n"/>
      <c r="C844" s="7" t="n"/>
      <c r="D844" s="7" t="n"/>
      <c r="E844" s="8" t="n"/>
      <c r="F844" s="12">
        <f>IF(B844="","",TEXT(B844,"mmm"))</f>
        <v/>
      </c>
    </row>
    <row r="845">
      <c r="B845" s="11" t="n"/>
      <c r="C845" s="7" t="n"/>
      <c r="D845" s="7" t="n"/>
      <c r="E845" s="8" t="n"/>
      <c r="F845" s="12">
        <f>IF(B845="","",TEXT(B845,"mmm"))</f>
        <v/>
      </c>
    </row>
    <row r="846">
      <c r="B846" s="11" t="n"/>
      <c r="C846" s="7" t="n"/>
      <c r="D846" s="7" t="n"/>
      <c r="E846" s="8" t="n"/>
      <c r="F846" s="12">
        <f>IF(B846="","",TEXT(B846,"mmm"))</f>
        <v/>
      </c>
    </row>
    <row r="847">
      <c r="B847" s="11" t="n"/>
      <c r="C847" s="7" t="n"/>
      <c r="D847" s="7" t="n"/>
      <c r="E847" s="8" t="n"/>
      <c r="F847" s="12">
        <f>IF(B847="","",TEXT(B847,"mmm"))</f>
        <v/>
      </c>
    </row>
    <row r="848">
      <c r="B848" s="11" t="n"/>
      <c r="C848" s="7" t="n"/>
      <c r="D848" s="7" t="n"/>
      <c r="E848" s="8" t="n"/>
      <c r="F848" s="12">
        <f>IF(B848="","",TEXT(B848,"mmm"))</f>
        <v/>
      </c>
    </row>
    <row r="849">
      <c r="B849" s="11" t="n"/>
      <c r="C849" s="7" t="n"/>
      <c r="D849" s="7" t="n"/>
      <c r="E849" s="8" t="n"/>
      <c r="F849" s="12">
        <f>IF(B849="","",TEXT(B849,"mmm"))</f>
        <v/>
      </c>
    </row>
    <row r="850">
      <c r="B850" s="11" t="n"/>
      <c r="C850" s="7" t="n"/>
      <c r="D850" s="7" t="n"/>
      <c r="E850" s="8" t="n"/>
      <c r="F850" s="12">
        <f>IF(B850="","",TEXT(B850,"mmm"))</f>
        <v/>
      </c>
    </row>
    <row r="851">
      <c r="B851" s="11" t="n"/>
      <c r="C851" s="7" t="n"/>
      <c r="D851" s="7" t="n"/>
      <c r="E851" s="8" t="n"/>
      <c r="F851" s="12">
        <f>IF(B851="","",TEXT(B851,"mmm"))</f>
        <v/>
      </c>
    </row>
    <row r="852">
      <c r="B852" s="11" t="n"/>
      <c r="C852" s="7" t="n"/>
      <c r="D852" s="7" t="n"/>
      <c r="E852" s="8" t="n"/>
      <c r="F852" s="12">
        <f>IF(B852="","",TEXT(B852,"mmm"))</f>
        <v/>
      </c>
    </row>
    <row r="853">
      <c r="B853" s="11" t="n"/>
      <c r="C853" s="7" t="n"/>
      <c r="D853" s="7" t="n"/>
      <c r="E853" s="8" t="n"/>
      <c r="F853" s="12">
        <f>IF(B853="","",TEXT(B853,"mmm"))</f>
        <v/>
      </c>
    </row>
    <row r="854">
      <c r="B854" s="11" t="n"/>
      <c r="C854" s="7" t="n"/>
      <c r="D854" s="7" t="n"/>
      <c r="E854" s="8" t="n"/>
      <c r="F854" s="12">
        <f>IF(B854="","",TEXT(B854,"mmm"))</f>
        <v/>
      </c>
    </row>
    <row r="855">
      <c r="B855" s="11" t="n"/>
      <c r="C855" s="7" t="n"/>
      <c r="D855" s="7" t="n"/>
      <c r="E855" s="8" t="n"/>
      <c r="F855" s="12">
        <f>IF(B855="","",TEXT(B855,"mmm"))</f>
        <v/>
      </c>
    </row>
    <row r="856">
      <c r="B856" s="11" t="n"/>
      <c r="C856" s="7" t="n"/>
      <c r="D856" s="7" t="n"/>
      <c r="E856" s="8" t="n"/>
      <c r="F856" s="12">
        <f>IF(B856="","",TEXT(B856,"mmm"))</f>
        <v/>
      </c>
    </row>
    <row r="857">
      <c r="B857" s="11" t="n"/>
      <c r="C857" s="7" t="n"/>
      <c r="D857" s="7" t="n"/>
      <c r="E857" s="8" t="n"/>
      <c r="F857" s="12">
        <f>IF(B857="","",TEXT(B857,"mmm"))</f>
        <v/>
      </c>
    </row>
    <row r="858">
      <c r="B858" s="11" t="n"/>
      <c r="C858" s="7" t="n"/>
      <c r="D858" s="7" t="n"/>
      <c r="E858" s="8" t="n"/>
      <c r="F858" s="12">
        <f>IF(B858="","",TEXT(B858,"mmm"))</f>
        <v/>
      </c>
    </row>
    <row r="859">
      <c r="B859" s="11" t="n"/>
      <c r="C859" s="7" t="n"/>
      <c r="D859" s="7" t="n"/>
      <c r="E859" s="8" t="n"/>
      <c r="F859" s="12">
        <f>IF(B859="","",TEXT(B859,"mmm"))</f>
        <v/>
      </c>
    </row>
    <row r="860">
      <c r="B860" s="11" t="n"/>
      <c r="C860" s="7" t="n"/>
      <c r="D860" s="7" t="n"/>
      <c r="E860" s="8" t="n"/>
      <c r="F860" s="12">
        <f>IF(B860="","",TEXT(B860,"mmm"))</f>
        <v/>
      </c>
    </row>
    <row r="861">
      <c r="B861" s="11" t="n"/>
      <c r="C861" s="7" t="n"/>
      <c r="D861" s="7" t="n"/>
      <c r="E861" s="8" t="n"/>
      <c r="F861" s="12">
        <f>IF(B861="","",TEXT(B861,"mmm"))</f>
        <v/>
      </c>
    </row>
    <row r="862">
      <c r="B862" s="11" t="n"/>
      <c r="C862" s="7" t="n"/>
      <c r="D862" s="7" t="n"/>
      <c r="E862" s="8" t="n"/>
      <c r="F862" s="12">
        <f>IF(B862="","",TEXT(B862,"mmm"))</f>
        <v/>
      </c>
    </row>
    <row r="863">
      <c r="B863" s="11" t="n"/>
      <c r="C863" s="7" t="n"/>
      <c r="D863" s="7" t="n"/>
      <c r="E863" s="8" t="n"/>
      <c r="F863" s="12">
        <f>IF(B863="","",TEXT(B863,"mmm"))</f>
        <v/>
      </c>
    </row>
    <row r="864">
      <c r="B864" s="11" t="n"/>
      <c r="C864" s="7" t="n"/>
      <c r="D864" s="7" t="n"/>
      <c r="E864" s="8" t="n"/>
      <c r="F864" s="12">
        <f>IF(B864="","",TEXT(B864,"mmm"))</f>
        <v/>
      </c>
    </row>
    <row r="865">
      <c r="B865" s="11" t="n"/>
      <c r="C865" s="7" t="n"/>
      <c r="D865" s="7" t="n"/>
      <c r="E865" s="8" t="n"/>
      <c r="F865" s="12">
        <f>IF(B865="","",TEXT(B865,"mmm"))</f>
        <v/>
      </c>
    </row>
    <row r="866">
      <c r="B866" s="11" t="n"/>
      <c r="C866" s="7" t="n"/>
      <c r="D866" s="7" t="n"/>
      <c r="E866" s="8" t="n"/>
      <c r="F866" s="12">
        <f>IF(B866="","",TEXT(B866,"mmm"))</f>
        <v/>
      </c>
    </row>
    <row r="867">
      <c r="B867" s="11" t="n"/>
      <c r="C867" s="7" t="n"/>
      <c r="D867" s="7" t="n"/>
      <c r="E867" s="8" t="n"/>
      <c r="F867" s="12">
        <f>IF(B867="","",TEXT(B867,"mmm"))</f>
        <v/>
      </c>
    </row>
    <row r="868">
      <c r="B868" s="11" t="n"/>
      <c r="C868" s="7" t="n"/>
      <c r="D868" s="7" t="n"/>
      <c r="E868" s="8" t="n"/>
      <c r="F868" s="12">
        <f>IF(B868="","",TEXT(B868,"mmm"))</f>
        <v/>
      </c>
    </row>
    <row r="869">
      <c r="B869" s="11" t="n"/>
      <c r="C869" s="7" t="n"/>
      <c r="D869" s="7" t="n"/>
      <c r="E869" s="8" t="n"/>
      <c r="F869" s="12">
        <f>IF(B869="","",TEXT(B869,"mmm"))</f>
        <v/>
      </c>
    </row>
    <row r="870">
      <c r="B870" s="11" t="n"/>
      <c r="C870" s="7" t="n"/>
      <c r="D870" s="7" t="n"/>
      <c r="E870" s="8" t="n"/>
      <c r="F870" s="12">
        <f>IF(B870="","",TEXT(B870,"mmm"))</f>
        <v/>
      </c>
    </row>
    <row r="871">
      <c r="B871" s="11" t="n"/>
      <c r="C871" s="7" t="n"/>
      <c r="D871" s="7" t="n"/>
      <c r="E871" s="8" t="n"/>
      <c r="F871" s="12">
        <f>IF(B871="","",TEXT(B871,"mmm"))</f>
        <v/>
      </c>
    </row>
    <row r="872">
      <c r="B872" s="11" t="n"/>
      <c r="C872" s="7" t="n"/>
      <c r="D872" s="7" t="n"/>
      <c r="E872" s="8" t="n"/>
      <c r="F872" s="12">
        <f>IF(B872="","",TEXT(B872,"mmm"))</f>
        <v/>
      </c>
    </row>
    <row r="873">
      <c r="B873" s="11" t="n"/>
      <c r="C873" s="7" t="n"/>
      <c r="D873" s="7" t="n"/>
      <c r="E873" s="8" t="n"/>
      <c r="F873" s="12">
        <f>IF(B873="","",TEXT(B873,"mmm"))</f>
        <v/>
      </c>
    </row>
    <row r="874">
      <c r="B874" s="11" t="n"/>
      <c r="C874" s="7" t="n"/>
      <c r="D874" s="7" t="n"/>
      <c r="E874" s="8" t="n"/>
      <c r="F874" s="12">
        <f>IF(B874="","",TEXT(B874,"mmm"))</f>
        <v/>
      </c>
    </row>
    <row r="875">
      <c r="B875" s="11" t="n"/>
      <c r="C875" s="7" t="n"/>
      <c r="D875" s="7" t="n"/>
      <c r="E875" s="8" t="n"/>
      <c r="F875" s="12">
        <f>IF(B875="","",TEXT(B875,"mmm"))</f>
        <v/>
      </c>
    </row>
    <row r="876">
      <c r="B876" s="11" t="n"/>
      <c r="C876" s="7" t="n"/>
      <c r="D876" s="7" t="n"/>
      <c r="E876" s="8" t="n"/>
      <c r="F876" s="12">
        <f>IF(B876="","",TEXT(B876,"mmm"))</f>
        <v/>
      </c>
    </row>
    <row r="877">
      <c r="B877" s="11" t="n"/>
      <c r="C877" s="7" t="n"/>
      <c r="D877" s="7" t="n"/>
      <c r="E877" s="8" t="n"/>
      <c r="F877" s="12">
        <f>IF(B877="","",TEXT(B877,"mmm"))</f>
        <v/>
      </c>
    </row>
    <row r="878">
      <c r="B878" s="11" t="n"/>
      <c r="C878" s="7" t="n"/>
      <c r="D878" s="7" t="n"/>
      <c r="E878" s="8" t="n"/>
      <c r="F878" s="12">
        <f>IF(B878="","",TEXT(B878,"mmm"))</f>
        <v/>
      </c>
    </row>
    <row r="879">
      <c r="B879" s="11" t="n"/>
      <c r="C879" s="7" t="n"/>
      <c r="D879" s="7" t="n"/>
      <c r="E879" s="8" t="n"/>
      <c r="F879" s="12">
        <f>IF(B879="","",TEXT(B879,"mmm"))</f>
        <v/>
      </c>
    </row>
    <row r="880">
      <c r="B880" s="11" t="n"/>
      <c r="C880" s="7" t="n"/>
      <c r="D880" s="7" t="n"/>
      <c r="E880" s="8" t="n"/>
      <c r="F880" s="12">
        <f>IF(B880="","",TEXT(B880,"mmm"))</f>
        <v/>
      </c>
    </row>
    <row r="881">
      <c r="B881" s="11" t="n"/>
      <c r="C881" s="7" t="n"/>
      <c r="D881" s="7" t="n"/>
      <c r="E881" s="8" t="n"/>
      <c r="F881" s="12">
        <f>IF(B881="","",TEXT(B881,"mmm"))</f>
        <v/>
      </c>
    </row>
    <row r="882">
      <c r="B882" s="11" t="n"/>
      <c r="C882" s="7" t="n"/>
      <c r="D882" s="7" t="n"/>
      <c r="E882" s="8" t="n"/>
      <c r="F882" s="12">
        <f>IF(B882="","",TEXT(B882,"mmm"))</f>
        <v/>
      </c>
    </row>
    <row r="883">
      <c r="B883" s="11" t="n"/>
      <c r="C883" s="7" t="n"/>
      <c r="D883" s="7" t="n"/>
      <c r="E883" s="8" t="n"/>
      <c r="F883" s="12">
        <f>IF(B883="","",TEXT(B883,"mmm"))</f>
        <v/>
      </c>
    </row>
    <row r="884">
      <c r="B884" s="11" t="n"/>
      <c r="C884" s="7" t="n"/>
      <c r="D884" s="7" t="n"/>
      <c r="E884" s="8" t="n"/>
      <c r="F884" s="12">
        <f>IF(B884="","",TEXT(B884,"mmm"))</f>
        <v/>
      </c>
    </row>
    <row r="885">
      <c r="B885" s="11" t="n"/>
      <c r="C885" s="7" t="n"/>
      <c r="D885" s="7" t="n"/>
      <c r="E885" s="8" t="n"/>
      <c r="F885" s="12">
        <f>IF(B885="","",TEXT(B885,"mmm"))</f>
        <v/>
      </c>
    </row>
    <row r="886">
      <c r="B886" s="11" t="n"/>
      <c r="C886" s="7" t="n"/>
      <c r="D886" s="7" t="n"/>
      <c r="E886" s="8" t="n"/>
      <c r="F886" s="12">
        <f>IF(B886="","",TEXT(B886,"mmm"))</f>
        <v/>
      </c>
    </row>
    <row r="887">
      <c r="B887" s="11" t="n"/>
      <c r="C887" s="7" t="n"/>
      <c r="D887" s="7" t="n"/>
      <c r="E887" s="8" t="n"/>
      <c r="F887" s="12">
        <f>IF(B887="","",TEXT(B887,"mmm"))</f>
        <v/>
      </c>
    </row>
    <row r="888">
      <c r="B888" s="11" t="n"/>
      <c r="C888" s="7" t="n"/>
      <c r="D888" s="7" t="n"/>
      <c r="E888" s="8" t="n"/>
      <c r="F888" s="12">
        <f>IF(B888="","",TEXT(B888,"mmm"))</f>
        <v/>
      </c>
    </row>
    <row r="889">
      <c r="B889" s="11" t="n"/>
      <c r="C889" s="7" t="n"/>
      <c r="D889" s="7" t="n"/>
      <c r="E889" s="8" t="n"/>
      <c r="F889" s="12">
        <f>IF(B889="","",TEXT(B889,"mmm"))</f>
        <v/>
      </c>
    </row>
    <row r="890">
      <c r="B890" s="11" t="n"/>
      <c r="C890" s="7" t="n"/>
      <c r="D890" s="7" t="n"/>
      <c r="E890" s="8" t="n"/>
      <c r="F890" s="12">
        <f>IF(B890="","",TEXT(B890,"mmm"))</f>
        <v/>
      </c>
    </row>
    <row r="891">
      <c r="B891" s="11" t="n"/>
      <c r="C891" s="7" t="n"/>
      <c r="D891" s="7" t="n"/>
      <c r="E891" s="8" t="n"/>
      <c r="F891" s="12">
        <f>IF(B891="","",TEXT(B891,"mmm"))</f>
        <v/>
      </c>
    </row>
    <row r="892">
      <c r="B892" s="11" t="n"/>
      <c r="C892" s="7" t="n"/>
      <c r="D892" s="7" t="n"/>
      <c r="E892" s="8" t="n"/>
      <c r="F892" s="12">
        <f>IF(B892="","",TEXT(B892,"mmm"))</f>
        <v/>
      </c>
    </row>
    <row r="893">
      <c r="B893" s="11" t="n"/>
      <c r="C893" s="7" t="n"/>
      <c r="D893" s="7" t="n"/>
      <c r="E893" s="8" t="n"/>
      <c r="F893" s="12">
        <f>IF(B893="","",TEXT(B893,"mmm"))</f>
        <v/>
      </c>
    </row>
    <row r="894">
      <c r="B894" s="11" t="n"/>
      <c r="C894" s="7" t="n"/>
      <c r="D894" s="7" t="n"/>
      <c r="E894" s="8" t="n"/>
      <c r="F894" s="12">
        <f>IF(B894="","",TEXT(B894,"mmm"))</f>
        <v/>
      </c>
    </row>
    <row r="895">
      <c r="B895" s="11" t="n"/>
      <c r="C895" s="7" t="n"/>
      <c r="D895" s="7" t="n"/>
      <c r="E895" s="8" t="n"/>
      <c r="F895" s="12">
        <f>IF(B895="","",TEXT(B895,"mmm"))</f>
        <v/>
      </c>
    </row>
    <row r="896">
      <c r="B896" s="11" t="n"/>
      <c r="C896" s="7" t="n"/>
      <c r="D896" s="7" t="n"/>
      <c r="E896" s="8" t="n"/>
      <c r="F896" s="12">
        <f>IF(B896="","",TEXT(B896,"mmm"))</f>
        <v/>
      </c>
    </row>
    <row r="897">
      <c r="B897" s="11" t="n"/>
      <c r="C897" s="7" t="n"/>
      <c r="D897" s="7" t="n"/>
      <c r="E897" s="8" t="n"/>
      <c r="F897" s="12">
        <f>IF(B897="","",TEXT(B897,"mmm"))</f>
        <v/>
      </c>
    </row>
    <row r="898">
      <c r="B898" s="11" t="n"/>
      <c r="C898" s="7" t="n"/>
      <c r="D898" s="7" t="n"/>
      <c r="E898" s="8" t="n"/>
      <c r="F898" s="12">
        <f>IF(B898="","",TEXT(B898,"mmm"))</f>
        <v/>
      </c>
    </row>
    <row r="899">
      <c r="B899" s="11" t="n"/>
      <c r="C899" s="7" t="n"/>
      <c r="D899" s="7" t="n"/>
      <c r="E899" s="8" t="n"/>
      <c r="F899" s="12">
        <f>IF(B899="","",TEXT(B899,"mmm"))</f>
        <v/>
      </c>
    </row>
    <row r="900">
      <c r="B900" s="11" t="n"/>
      <c r="C900" s="7" t="n"/>
      <c r="D900" s="7" t="n"/>
      <c r="E900" s="8" t="n"/>
      <c r="F900" s="12">
        <f>IF(B900="","",TEXT(B900,"mmm"))</f>
        <v/>
      </c>
    </row>
    <row r="901">
      <c r="B901" s="11" t="n"/>
      <c r="C901" s="7" t="n"/>
      <c r="D901" s="7" t="n"/>
      <c r="E901" s="8" t="n"/>
      <c r="F901" s="12">
        <f>IF(B901="","",TEXT(B901,"mmm"))</f>
        <v/>
      </c>
    </row>
    <row r="902">
      <c r="B902" s="11" t="n"/>
      <c r="C902" s="7" t="n"/>
      <c r="D902" s="7" t="n"/>
      <c r="E902" s="8" t="n"/>
      <c r="F902" s="12">
        <f>IF(B902="","",TEXT(B902,"mmm"))</f>
        <v/>
      </c>
    </row>
    <row r="903">
      <c r="B903" s="11" t="n"/>
      <c r="C903" s="7" t="n"/>
      <c r="D903" s="7" t="n"/>
      <c r="E903" s="8" t="n"/>
      <c r="F903" s="12">
        <f>IF(B903="","",TEXT(B903,"mmm"))</f>
        <v/>
      </c>
    </row>
    <row r="904">
      <c r="B904" s="11" t="n"/>
      <c r="C904" s="7" t="n"/>
      <c r="D904" s="7" t="n"/>
      <c r="E904" s="8" t="n"/>
      <c r="F904" s="12">
        <f>IF(B904="","",TEXT(B904,"mmm"))</f>
        <v/>
      </c>
    </row>
    <row r="905">
      <c r="B905" s="11" t="n"/>
      <c r="C905" s="7" t="n"/>
      <c r="D905" s="7" t="n"/>
      <c r="E905" s="8" t="n"/>
      <c r="F905" s="12">
        <f>IF(B905="","",TEXT(B905,"mmm"))</f>
        <v/>
      </c>
    </row>
    <row r="906">
      <c r="B906" s="11" t="n"/>
      <c r="C906" s="7" t="n"/>
      <c r="D906" s="7" t="n"/>
      <c r="E906" s="8" t="n"/>
      <c r="F906" s="12">
        <f>IF(B906="","",TEXT(B906,"mmm"))</f>
        <v/>
      </c>
    </row>
    <row r="907">
      <c r="B907" s="11" t="n"/>
      <c r="C907" s="7" t="n"/>
      <c r="D907" s="7" t="n"/>
      <c r="E907" s="8" t="n"/>
      <c r="F907" s="12">
        <f>IF(B907="","",TEXT(B907,"mmm"))</f>
        <v/>
      </c>
    </row>
    <row r="908">
      <c r="B908" s="11" t="n"/>
      <c r="C908" s="7" t="n"/>
      <c r="D908" s="7" t="n"/>
      <c r="E908" s="8" t="n"/>
      <c r="F908" s="12">
        <f>IF(B908="","",TEXT(B908,"mmm"))</f>
        <v/>
      </c>
    </row>
    <row r="909">
      <c r="B909" s="11" t="n"/>
      <c r="C909" s="7" t="n"/>
      <c r="D909" s="7" t="n"/>
      <c r="E909" s="8" t="n"/>
      <c r="F909" s="12">
        <f>IF(B909="","",TEXT(B909,"mmm"))</f>
        <v/>
      </c>
    </row>
    <row r="910">
      <c r="B910" s="11" t="n"/>
      <c r="C910" s="7" t="n"/>
      <c r="D910" s="7" t="n"/>
      <c r="E910" s="8" t="n"/>
      <c r="F910" s="12">
        <f>IF(B910="","",TEXT(B910,"mmm"))</f>
        <v/>
      </c>
    </row>
    <row r="911">
      <c r="B911" s="11" t="n"/>
      <c r="C911" s="7" t="n"/>
      <c r="D911" s="7" t="n"/>
      <c r="E911" s="8" t="n"/>
      <c r="F911" s="12">
        <f>IF(B911="","",TEXT(B911,"mmm"))</f>
        <v/>
      </c>
    </row>
    <row r="912">
      <c r="B912" s="11" t="n"/>
      <c r="C912" s="7" t="n"/>
      <c r="D912" s="7" t="n"/>
      <c r="E912" s="8" t="n"/>
      <c r="F912" s="12">
        <f>IF(B912="","",TEXT(B912,"mmm"))</f>
        <v/>
      </c>
    </row>
    <row r="913">
      <c r="B913" s="11" t="n"/>
      <c r="C913" s="7" t="n"/>
      <c r="D913" s="7" t="n"/>
      <c r="E913" s="8" t="n"/>
      <c r="F913" s="12">
        <f>IF(B913="","",TEXT(B913,"mmm"))</f>
        <v/>
      </c>
    </row>
    <row r="914">
      <c r="B914" s="11" t="n"/>
      <c r="C914" s="7" t="n"/>
      <c r="D914" s="7" t="n"/>
      <c r="E914" s="8" t="n"/>
      <c r="F914" s="12">
        <f>IF(B914="","",TEXT(B914,"mmm"))</f>
        <v/>
      </c>
    </row>
    <row r="915">
      <c r="B915" s="11" t="n"/>
      <c r="C915" s="7" t="n"/>
      <c r="D915" s="7" t="n"/>
      <c r="E915" s="8" t="n"/>
      <c r="F915" s="12">
        <f>IF(B915="","",TEXT(B915,"mmm"))</f>
        <v/>
      </c>
    </row>
    <row r="916">
      <c r="B916" s="11" t="n"/>
      <c r="C916" s="7" t="n"/>
      <c r="D916" s="7" t="n"/>
      <c r="E916" s="8" t="n"/>
      <c r="F916" s="12">
        <f>IF(B916="","",TEXT(B916,"mmm"))</f>
        <v/>
      </c>
    </row>
    <row r="917">
      <c r="B917" s="11" t="n"/>
      <c r="C917" s="7" t="n"/>
      <c r="D917" s="7" t="n"/>
      <c r="E917" s="8" t="n"/>
      <c r="F917" s="12">
        <f>IF(B917="","",TEXT(B917,"mmm"))</f>
        <v/>
      </c>
    </row>
    <row r="918">
      <c r="B918" s="11" t="n"/>
      <c r="C918" s="7" t="n"/>
      <c r="D918" s="7" t="n"/>
      <c r="E918" s="8" t="n"/>
      <c r="F918" s="12">
        <f>IF(B918="","",TEXT(B918,"mmm"))</f>
        <v/>
      </c>
    </row>
    <row r="919">
      <c r="B919" s="11" t="n"/>
      <c r="C919" s="7" t="n"/>
      <c r="D919" s="7" t="n"/>
      <c r="E919" s="8" t="n"/>
      <c r="F919" s="12">
        <f>IF(B919="","",TEXT(B919,"mmm"))</f>
        <v/>
      </c>
    </row>
    <row r="920">
      <c r="B920" s="11" t="n"/>
      <c r="C920" s="7" t="n"/>
      <c r="D920" s="7" t="n"/>
      <c r="E920" s="8" t="n"/>
      <c r="F920" s="12">
        <f>IF(B920="","",TEXT(B920,"mmm"))</f>
        <v/>
      </c>
    </row>
    <row r="921">
      <c r="B921" s="11" t="n"/>
      <c r="C921" s="7" t="n"/>
      <c r="D921" s="7" t="n"/>
      <c r="E921" s="8" t="n"/>
      <c r="F921" s="12">
        <f>IF(B921="","",TEXT(B921,"mmm"))</f>
        <v/>
      </c>
    </row>
    <row r="922">
      <c r="B922" s="11" t="n"/>
      <c r="C922" s="7" t="n"/>
      <c r="D922" s="7" t="n"/>
      <c r="E922" s="8" t="n"/>
      <c r="F922" s="12">
        <f>IF(B922="","",TEXT(B922,"mmm"))</f>
        <v/>
      </c>
    </row>
    <row r="923">
      <c r="B923" s="11" t="n"/>
      <c r="C923" s="7" t="n"/>
      <c r="D923" s="7" t="n"/>
      <c r="E923" s="8" t="n"/>
      <c r="F923" s="12">
        <f>IF(B923="","",TEXT(B923,"mmm"))</f>
        <v/>
      </c>
    </row>
    <row r="924">
      <c r="B924" s="11" t="n"/>
      <c r="C924" s="7" t="n"/>
      <c r="D924" s="7" t="n"/>
      <c r="E924" s="8" t="n"/>
      <c r="F924" s="12">
        <f>IF(B924="","",TEXT(B924,"mmm"))</f>
        <v/>
      </c>
    </row>
    <row r="925">
      <c r="B925" s="11" t="n"/>
      <c r="C925" s="7" t="n"/>
      <c r="D925" s="7" t="n"/>
      <c r="E925" s="8" t="n"/>
      <c r="F925" s="12">
        <f>IF(B925="","",TEXT(B925,"mmm"))</f>
        <v/>
      </c>
    </row>
    <row r="926">
      <c r="B926" s="11" t="n"/>
      <c r="C926" s="7" t="n"/>
      <c r="D926" s="7" t="n"/>
      <c r="E926" s="8" t="n"/>
      <c r="F926" s="12">
        <f>IF(B926="","",TEXT(B926,"mmm"))</f>
        <v/>
      </c>
    </row>
    <row r="927">
      <c r="B927" s="11" t="n"/>
      <c r="C927" s="7" t="n"/>
      <c r="D927" s="7" t="n"/>
      <c r="E927" s="8" t="n"/>
      <c r="F927" s="12">
        <f>IF(B927="","",TEXT(B927,"mmm"))</f>
        <v/>
      </c>
    </row>
    <row r="928">
      <c r="B928" s="11" t="n"/>
      <c r="C928" s="7" t="n"/>
      <c r="D928" s="7" t="n"/>
      <c r="E928" s="8" t="n"/>
      <c r="F928" s="12">
        <f>IF(B928="","",TEXT(B928,"mmm"))</f>
        <v/>
      </c>
    </row>
    <row r="929">
      <c r="B929" s="11" t="n"/>
      <c r="C929" s="7" t="n"/>
      <c r="D929" s="7" t="n"/>
      <c r="E929" s="8" t="n"/>
      <c r="F929" s="12">
        <f>IF(B929="","",TEXT(B929,"mmm"))</f>
        <v/>
      </c>
    </row>
    <row r="930">
      <c r="B930" s="11" t="n"/>
      <c r="C930" s="7" t="n"/>
      <c r="D930" s="7" t="n"/>
      <c r="E930" s="8" t="n"/>
      <c r="F930" s="12">
        <f>IF(B930="","",TEXT(B930,"mmm"))</f>
        <v/>
      </c>
    </row>
    <row r="931">
      <c r="B931" s="11" t="n"/>
      <c r="C931" s="7" t="n"/>
      <c r="D931" s="7" t="n"/>
      <c r="E931" s="8" t="n"/>
      <c r="F931" s="12">
        <f>IF(B931="","",TEXT(B931,"mmm"))</f>
        <v/>
      </c>
    </row>
    <row r="932">
      <c r="B932" s="11" t="n"/>
      <c r="C932" s="7" t="n"/>
      <c r="D932" s="7" t="n"/>
      <c r="E932" s="8" t="n"/>
      <c r="F932" s="12">
        <f>IF(B932="","",TEXT(B932,"mmm"))</f>
        <v/>
      </c>
    </row>
    <row r="933">
      <c r="B933" s="11" t="n"/>
      <c r="C933" s="7" t="n"/>
      <c r="D933" s="7" t="n"/>
      <c r="E933" s="8" t="n"/>
      <c r="F933" s="12">
        <f>IF(B933="","",TEXT(B933,"mmm"))</f>
        <v/>
      </c>
    </row>
    <row r="934">
      <c r="B934" s="11" t="n"/>
      <c r="C934" s="7" t="n"/>
      <c r="D934" s="7" t="n"/>
      <c r="E934" s="8" t="n"/>
      <c r="F934" s="12">
        <f>IF(B934="","",TEXT(B934,"mmm"))</f>
        <v/>
      </c>
    </row>
    <row r="935">
      <c r="B935" s="11" t="n"/>
      <c r="C935" s="7" t="n"/>
      <c r="D935" s="7" t="n"/>
      <c r="E935" s="8" t="n"/>
      <c r="F935" s="12">
        <f>IF(B935="","",TEXT(B935,"mmm"))</f>
        <v/>
      </c>
    </row>
    <row r="936">
      <c r="B936" s="11" t="n"/>
      <c r="C936" s="7" t="n"/>
      <c r="D936" s="7" t="n"/>
      <c r="E936" s="8" t="n"/>
      <c r="F936" s="12">
        <f>IF(B936="","",TEXT(B936,"mmm"))</f>
        <v/>
      </c>
    </row>
    <row r="937">
      <c r="B937" s="11" t="n"/>
      <c r="C937" s="7" t="n"/>
      <c r="D937" s="7" t="n"/>
      <c r="E937" s="8" t="n"/>
      <c r="F937" s="12">
        <f>IF(B937="","",TEXT(B937,"mmm"))</f>
        <v/>
      </c>
    </row>
    <row r="938">
      <c r="B938" s="11" t="n"/>
      <c r="C938" s="7" t="n"/>
      <c r="D938" s="7" t="n"/>
      <c r="E938" s="8" t="n"/>
      <c r="F938" s="12">
        <f>IF(B938="","",TEXT(B938,"mmm"))</f>
        <v/>
      </c>
    </row>
    <row r="939">
      <c r="B939" s="11" t="n"/>
      <c r="C939" s="7" t="n"/>
      <c r="D939" s="7" t="n"/>
      <c r="E939" s="8" t="n"/>
      <c r="F939" s="12">
        <f>IF(B939="","",TEXT(B939,"mmm"))</f>
        <v/>
      </c>
    </row>
    <row r="940">
      <c r="B940" s="11" t="n"/>
      <c r="C940" s="7" t="n"/>
      <c r="D940" s="7" t="n"/>
      <c r="E940" s="8" t="n"/>
      <c r="F940" s="12">
        <f>IF(B940="","",TEXT(B940,"mmm"))</f>
        <v/>
      </c>
    </row>
    <row r="941">
      <c r="B941" s="11" t="n"/>
      <c r="C941" s="7" t="n"/>
      <c r="D941" s="7" t="n"/>
      <c r="E941" s="8" t="n"/>
      <c r="F941" s="12">
        <f>IF(B941="","",TEXT(B941,"mmm"))</f>
        <v/>
      </c>
    </row>
    <row r="942">
      <c r="B942" s="11" t="n"/>
      <c r="C942" s="7" t="n"/>
      <c r="D942" s="7" t="n"/>
      <c r="E942" s="8" t="n"/>
      <c r="F942" s="12">
        <f>IF(B942="","",TEXT(B942,"mmm"))</f>
        <v/>
      </c>
    </row>
    <row r="943">
      <c r="B943" s="11" t="n"/>
      <c r="C943" s="7" t="n"/>
      <c r="D943" s="7" t="n"/>
      <c r="E943" s="8" t="n"/>
      <c r="F943" s="12">
        <f>IF(B943="","",TEXT(B943,"mmm"))</f>
        <v/>
      </c>
    </row>
    <row r="944">
      <c r="B944" s="11" t="n"/>
      <c r="C944" s="7" t="n"/>
      <c r="D944" s="7" t="n"/>
      <c r="E944" s="8" t="n"/>
      <c r="F944" s="12">
        <f>IF(B944="","",TEXT(B944,"mmm"))</f>
        <v/>
      </c>
    </row>
    <row r="945">
      <c r="B945" s="11" t="n"/>
      <c r="C945" s="7" t="n"/>
      <c r="D945" s="7" t="n"/>
      <c r="E945" s="8" t="n"/>
      <c r="F945" s="12">
        <f>IF(B945="","",TEXT(B945,"mmm"))</f>
        <v/>
      </c>
    </row>
    <row r="946">
      <c r="B946" s="11" t="n"/>
      <c r="C946" s="7" t="n"/>
      <c r="D946" s="7" t="n"/>
      <c r="E946" s="8" t="n"/>
      <c r="F946" s="12">
        <f>IF(B946="","",TEXT(B946,"mmm"))</f>
        <v/>
      </c>
    </row>
    <row r="947">
      <c r="B947" s="11" t="n"/>
      <c r="C947" s="7" t="n"/>
      <c r="D947" s="7" t="n"/>
      <c r="E947" s="8" t="n"/>
      <c r="F947" s="12">
        <f>IF(B947="","",TEXT(B947,"mmm"))</f>
        <v/>
      </c>
    </row>
    <row r="948">
      <c r="B948" s="11" t="n"/>
      <c r="C948" s="7" t="n"/>
      <c r="D948" s="7" t="n"/>
      <c r="E948" s="8" t="n"/>
      <c r="F948" s="12">
        <f>IF(B948="","",TEXT(B948,"mmm"))</f>
        <v/>
      </c>
    </row>
    <row r="949">
      <c r="B949" s="11" t="n"/>
      <c r="C949" s="7" t="n"/>
      <c r="D949" s="7" t="n"/>
      <c r="E949" s="8" t="n"/>
      <c r="F949" s="12">
        <f>IF(B949="","",TEXT(B949,"mmm"))</f>
        <v/>
      </c>
    </row>
    <row r="950">
      <c r="B950" s="11" t="n"/>
      <c r="C950" s="7" t="n"/>
      <c r="D950" s="7" t="n"/>
      <c r="E950" s="8" t="n"/>
      <c r="F950" s="12">
        <f>IF(B950="","",TEXT(B950,"mmm"))</f>
        <v/>
      </c>
    </row>
    <row r="951">
      <c r="B951" s="11" t="n"/>
      <c r="C951" s="7" t="n"/>
      <c r="D951" s="7" t="n"/>
      <c r="E951" s="8" t="n"/>
      <c r="F951" s="12">
        <f>IF(B951="","",TEXT(B951,"mmm"))</f>
        <v/>
      </c>
    </row>
    <row r="952">
      <c r="B952" s="11" t="n"/>
      <c r="C952" s="7" t="n"/>
      <c r="D952" s="7" t="n"/>
      <c r="E952" s="8" t="n"/>
      <c r="F952" s="12">
        <f>IF(B952="","",TEXT(B952,"mmm"))</f>
        <v/>
      </c>
    </row>
    <row r="953">
      <c r="B953" s="11" t="n"/>
      <c r="C953" s="7" t="n"/>
      <c r="D953" s="7" t="n"/>
      <c r="E953" s="8" t="n"/>
      <c r="F953" s="12">
        <f>IF(B953="","",TEXT(B953,"mmm"))</f>
        <v/>
      </c>
    </row>
    <row r="954">
      <c r="B954" s="11" t="n"/>
      <c r="C954" s="7" t="n"/>
      <c r="D954" s="7" t="n"/>
      <c r="E954" s="8" t="n"/>
      <c r="F954" s="12">
        <f>IF(B954="","",TEXT(B954,"mmm"))</f>
        <v/>
      </c>
    </row>
    <row r="955">
      <c r="B955" s="11" t="n"/>
      <c r="C955" s="7" t="n"/>
      <c r="D955" s="7" t="n"/>
      <c r="E955" s="8" t="n"/>
      <c r="F955" s="12">
        <f>IF(B955="","",TEXT(B955,"mmm"))</f>
        <v/>
      </c>
    </row>
    <row r="956">
      <c r="B956" s="11" t="n"/>
      <c r="C956" s="7" t="n"/>
      <c r="D956" s="7" t="n"/>
      <c r="E956" s="8" t="n"/>
      <c r="F956" s="12">
        <f>IF(B956="","",TEXT(B956,"mmm"))</f>
        <v/>
      </c>
    </row>
    <row r="957">
      <c r="B957" s="11" t="n"/>
      <c r="C957" s="7" t="n"/>
      <c r="D957" s="7" t="n"/>
      <c r="E957" s="8" t="n"/>
      <c r="F957" s="12">
        <f>IF(B957="","",TEXT(B957,"mmm"))</f>
        <v/>
      </c>
    </row>
    <row r="958">
      <c r="B958" s="11" t="n"/>
      <c r="C958" s="7" t="n"/>
      <c r="D958" s="7" t="n"/>
      <c r="E958" s="8" t="n"/>
      <c r="F958" s="12">
        <f>IF(B958="","",TEXT(B958,"mmm"))</f>
        <v/>
      </c>
    </row>
    <row r="959">
      <c r="B959" s="11" t="n"/>
      <c r="C959" s="7" t="n"/>
      <c r="D959" s="7" t="n"/>
      <c r="E959" s="8" t="n"/>
      <c r="F959" s="12">
        <f>IF(B959="","",TEXT(B959,"mmm"))</f>
        <v/>
      </c>
    </row>
    <row r="960">
      <c r="B960" s="11" t="n"/>
      <c r="C960" s="7" t="n"/>
      <c r="D960" s="7" t="n"/>
      <c r="E960" s="8" t="n"/>
      <c r="F960" s="12">
        <f>IF(B960="","",TEXT(B960,"mmm"))</f>
        <v/>
      </c>
    </row>
    <row r="961">
      <c r="B961" s="11" t="n"/>
      <c r="C961" s="7" t="n"/>
      <c r="D961" s="7" t="n"/>
      <c r="E961" s="8" t="n"/>
      <c r="F961" s="12">
        <f>IF(B961="","",TEXT(B961,"mmm"))</f>
        <v/>
      </c>
    </row>
    <row r="962">
      <c r="B962" s="11" t="n"/>
      <c r="C962" s="7" t="n"/>
      <c r="D962" s="7" t="n"/>
      <c r="E962" s="8" t="n"/>
      <c r="F962" s="12">
        <f>IF(B962="","",TEXT(B962,"mmm"))</f>
        <v/>
      </c>
    </row>
    <row r="963">
      <c r="B963" s="11" t="n"/>
      <c r="C963" s="7" t="n"/>
      <c r="D963" s="7" t="n"/>
      <c r="E963" s="8" t="n"/>
      <c r="F963" s="12">
        <f>IF(B963="","",TEXT(B963,"mmm"))</f>
        <v/>
      </c>
    </row>
    <row r="964">
      <c r="B964" s="11" t="n"/>
      <c r="C964" s="7" t="n"/>
      <c r="D964" s="7" t="n"/>
      <c r="E964" s="8" t="n"/>
      <c r="F964" s="12">
        <f>IF(B964="","",TEXT(B964,"mmm"))</f>
        <v/>
      </c>
    </row>
    <row r="965">
      <c r="B965" s="11" t="n"/>
      <c r="C965" s="7" t="n"/>
      <c r="D965" s="7" t="n"/>
      <c r="E965" s="8" t="n"/>
      <c r="F965" s="12">
        <f>IF(B965="","",TEXT(B965,"mmm"))</f>
        <v/>
      </c>
    </row>
    <row r="966">
      <c r="B966" s="11" t="n"/>
      <c r="C966" s="7" t="n"/>
      <c r="D966" s="7" t="n"/>
      <c r="E966" s="8" t="n"/>
      <c r="F966" s="12">
        <f>IF(B966="","",TEXT(B966,"mmm"))</f>
        <v/>
      </c>
    </row>
    <row r="967">
      <c r="B967" s="11" t="n"/>
      <c r="C967" s="7" t="n"/>
      <c r="D967" s="7" t="n"/>
      <c r="E967" s="8" t="n"/>
      <c r="F967" s="12">
        <f>IF(B967="","",TEXT(B967,"mmm"))</f>
        <v/>
      </c>
    </row>
    <row r="968">
      <c r="B968" s="11" t="n"/>
      <c r="C968" s="7" t="n"/>
      <c r="D968" s="7" t="n"/>
      <c r="E968" s="8" t="n"/>
      <c r="F968" s="12">
        <f>IF(B968="","",TEXT(B968,"mmm"))</f>
        <v/>
      </c>
    </row>
    <row r="969">
      <c r="B969" s="11" t="n"/>
      <c r="C969" s="7" t="n"/>
      <c r="D969" s="7" t="n"/>
      <c r="E969" s="8" t="n"/>
      <c r="F969" s="12">
        <f>IF(B969="","",TEXT(B969,"mmm"))</f>
        <v/>
      </c>
    </row>
    <row r="970">
      <c r="B970" s="11" t="n"/>
      <c r="C970" s="7" t="n"/>
      <c r="D970" s="7" t="n"/>
      <c r="E970" s="8" t="n"/>
      <c r="F970" s="12">
        <f>IF(B970="","",TEXT(B970,"mmm"))</f>
        <v/>
      </c>
    </row>
    <row r="971">
      <c r="B971" s="11" t="n"/>
      <c r="C971" s="7" t="n"/>
      <c r="D971" s="7" t="n"/>
      <c r="E971" s="8" t="n"/>
      <c r="F971" s="12">
        <f>IF(B971="","",TEXT(B971,"mmm"))</f>
        <v/>
      </c>
    </row>
    <row r="972">
      <c r="B972" s="11" t="n"/>
      <c r="C972" s="7" t="n"/>
      <c r="D972" s="7" t="n"/>
      <c r="E972" s="8" t="n"/>
      <c r="F972" s="12">
        <f>IF(B972="","",TEXT(B972,"mmm"))</f>
        <v/>
      </c>
    </row>
    <row r="973">
      <c r="B973" s="11" t="n"/>
      <c r="C973" s="7" t="n"/>
      <c r="D973" s="7" t="n"/>
      <c r="E973" s="8" t="n"/>
      <c r="F973" s="12">
        <f>IF(B973="","",TEXT(B973,"mmm"))</f>
        <v/>
      </c>
    </row>
    <row r="974">
      <c r="B974" s="11" t="n"/>
      <c r="C974" s="7" t="n"/>
      <c r="D974" s="7" t="n"/>
      <c r="E974" s="8" t="n"/>
      <c r="F974" s="12">
        <f>IF(B974="","",TEXT(B974,"mmm"))</f>
        <v/>
      </c>
    </row>
    <row r="975">
      <c r="B975" s="11" t="n"/>
      <c r="C975" s="7" t="n"/>
      <c r="D975" s="7" t="n"/>
      <c r="E975" s="8" t="n"/>
      <c r="F975" s="12">
        <f>IF(B975="","",TEXT(B975,"mmm"))</f>
        <v/>
      </c>
    </row>
    <row r="976">
      <c r="B976" s="11" t="n"/>
      <c r="C976" s="7" t="n"/>
      <c r="D976" s="7" t="n"/>
      <c r="E976" s="8" t="n"/>
      <c r="F976" s="12">
        <f>IF(B976="","",TEXT(B976,"mmm"))</f>
        <v/>
      </c>
    </row>
    <row r="977">
      <c r="B977" s="11" t="n"/>
      <c r="C977" s="7" t="n"/>
      <c r="D977" s="7" t="n"/>
      <c r="E977" s="8" t="n"/>
      <c r="F977" s="12">
        <f>IF(B977="","",TEXT(B977,"mmm"))</f>
        <v/>
      </c>
    </row>
    <row r="978">
      <c r="B978" s="11" t="n"/>
      <c r="C978" s="7" t="n"/>
      <c r="D978" s="7" t="n"/>
      <c r="E978" s="8" t="n"/>
      <c r="F978" s="12">
        <f>IF(B978="","",TEXT(B978,"mmm"))</f>
        <v/>
      </c>
    </row>
    <row r="979">
      <c r="B979" s="11" t="n"/>
      <c r="C979" s="7" t="n"/>
      <c r="D979" s="7" t="n"/>
      <c r="E979" s="8" t="n"/>
      <c r="F979" s="12">
        <f>IF(B979="","",TEXT(B979,"mmm"))</f>
        <v/>
      </c>
    </row>
    <row r="980">
      <c r="B980" s="11" t="n"/>
      <c r="C980" s="7" t="n"/>
      <c r="D980" s="7" t="n"/>
      <c r="E980" s="8" t="n"/>
      <c r="F980" s="12">
        <f>IF(B980="","",TEXT(B980,"mmm"))</f>
        <v/>
      </c>
    </row>
    <row r="981">
      <c r="B981" s="11" t="n"/>
      <c r="C981" s="7" t="n"/>
      <c r="D981" s="7" t="n"/>
      <c r="E981" s="8" t="n"/>
      <c r="F981" s="12">
        <f>IF(B981="","",TEXT(B981,"mmm"))</f>
        <v/>
      </c>
    </row>
    <row r="982">
      <c r="B982" s="11" t="n"/>
      <c r="C982" s="7" t="n"/>
      <c r="D982" s="7" t="n"/>
      <c r="E982" s="8" t="n"/>
      <c r="F982" s="12">
        <f>IF(B982="","",TEXT(B982,"mmm"))</f>
        <v/>
      </c>
    </row>
    <row r="983">
      <c r="B983" s="11" t="n"/>
      <c r="C983" s="7" t="n"/>
      <c r="D983" s="7" t="n"/>
      <c r="E983" s="8" t="n"/>
      <c r="F983" s="12">
        <f>IF(B983="","",TEXT(B983,"mmm"))</f>
        <v/>
      </c>
    </row>
    <row r="984">
      <c r="B984" s="11" t="n"/>
      <c r="C984" s="7" t="n"/>
      <c r="D984" s="7" t="n"/>
      <c r="E984" s="8" t="n"/>
      <c r="F984" s="12">
        <f>IF(B984="","",TEXT(B984,"mmm"))</f>
        <v/>
      </c>
    </row>
    <row r="985">
      <c r="B985" s="11" t="n"/>
      <c r="C985" s="7" t="n"/>
      <c r="D985" s="7" t="n"/>
      <c r="E985" s="8" t="n"/>
      <c r="F985" s="12">
        <f>IF(B985="","",TEXT(B985,"mmm"))</f>
        <v/>
      </c>
    </row>
    <row r="986">
      <c r="B986" s="11" t="n"/>
      <c r="C986" s="7" t="n"/>
      <c r="D986" s="7" t="n"/>
      <c r="E986" s="8" t="n"/>
      <c r="F986" s="12">
        <f>IF(B986="","",TEXT(B986,"mmm"))</f>
        <v/>
      </c>
    </row>
    <row r="987">
      <c r="B987" s="11" t="n"/>
      <c r="C987" s="7" t="n"/>
      <c r="D987" s="7" t="n"/>
      <c r="E987" s="8" t="n"/>
      <c r="F987" s="12">
        <f>IF(B987="","",TEXT(B987,"mmm"))</f>
        <v/>
      </c>
    </row>
    <row r="988">
      <c r="B988" s="11" t="n"/>
      <c r="C988" s="7" t="n"/>
      <c r="D988" s="7" t="n"/>
      <c r="E988" s="8" t="n"/>
      <c r="F988" s="12">
        <f>IF(B988="","",TEXT(B988,"mmm"))</f>
        <v/>
      </c>
    </row>
    <row r="989">
      <c r="B989" s="11" t="n"/>
      <c r="C989" s="7" t="n"/>
      <c r="D989" s="7" t="n"/>
      <c r="E989" s="8" t="n"/>
      <c r="F989" s="12">
        <f>IF(B989="","",TEXT(B989,"mmm"))</f>
        <v/>
      </c>
    </row>
    <row r="990">
      <c r="B990" s="11" t="n"/>
      <c r="C990" s="7" t="n"/>
      <c r="D990" s="7" t="n"/>
      <c r="E990" s="8" t="n"/>
      <c r="F990" s="12">
        <f>IF(B990="","",TEXT(B990,"mmm"))</f>
        <v/>
      </c>
    </row>
    <row r="991">
      <c r="B991" s="11" t="n"/>
      <c r="C991" s="7" t="n"/>
      <c r="D991" s="7" t="n"/>
      <c r="E991" s="8" t="n"/>
      <c r="F991" s="12">
        <f>IF(B991="","",TEXT(B991,"mmm"))</f>
        <v/>
      </c>
    </row>
    <row r="992">
      <c r="B992" s="11" t="n"/>
      <c r="C992" s="7" t="n"/>
      <c r="D992" s="7" t="n"/>
      <c r="E992" s="8" t="n"/>
      <c r="F992" s="12">
        <f>IF(B992="","",TEXT(B992,"mmm"))</f>
        <v/>
      </c>
    </row>
    <row r="993">
      <c r="B993" s="11" t="n"/>
      <c r="C993" s="7" t="n"/>
      <c r="D993" s="7" t="n"/>
      <c r="E993" s="8" t="n"/>
      <c r="F993" s="12">
        <f>IF(B993="","",TEXT(B993,"mmm"))</f>
        <v/>
      </c>
    </row>
    <row r="994">
      <c r="B994" s="11" t="n"/>
      <c r="C994" s="7" t="n"/>
      <c r="D994" s="7" t="n"/>
      <c r="E994" s="8" t="n"/>
      <c r="F994" s="12">
        <f>IF(B994="","",TEXT(B994,"mmm"))</f>
        <v/>
      </c>
    </row>
    <row r="995">
      <c r="B995" s="11" t="n"/>
      <c r="C995" s="7" t="n"/>
      <c r="D995" s="7" t="n"/>
      <c r="E995" s="8" t="n"/>
      <c r="F995" s="12">
        <f>IF(B995="","",TEXT(B995,"mmm"))</f>
        <v/>
      </c>
    </row>
    <row r="996">
      <c r="B996" s="11" t="n"/>
      <c r="C996" s="7" t="n"/>
      <c r="D996" s="7" t="n"/>
      <c r="E996" s="8" t="n"/>
      <c r="F996" s="12">
        <f>IF(B996="","",TEXT(B996,"mmm"))</f>
        <v/>
      </c>
    </row>
    <row r="997">
      <c r="B997" s="11" t="n"/>
      <c r="C997" s="7" t="n"/>
      <c r="D997" s="7" t="n"/>
      <c r="E997" s="8" t="n"/>
      <c r="F997" s="12">
        <f>IF(B997="","",TEXT(B997,"mmm"))</f>
        <v/>
      </c>
    </row>
    <row r="998">
      <c r="B998" s="11" t="n"/>
      <c r="C998" s="7" t="n"/>
      <c r="D998" s="7" t="n"/>
      <c r="E998" s="8" t="n"/>
      <c r="F998" s="12">
        <f>IF(B998="","",TEXT(B998,"mmm"))</f>
        <v/>
      </c>
    </row>
    <row r="999">
      <c r="B999" s="11" t="n"/>
      <c r="C999" s="7" t="n"/>
      <c r="D999" s="7" t="n"/>
      <c r="E999" s="8" t="n"/>
      <c r="F999" s="12">
        <f>IF(B999="","",TEXT(B999,"mmm"))</f>
        <v/>
      </c>
    </row>
    <row r="1000">
      <c r="B1000" s="11" t="n"/>
      <c r="C1000" s="7" t="n"/>
      <c r="D1000" s="7" t="n"/>
      <c r="E1000" s="8" t="n"/>
      <c r="F1000" s="12">
        <f>IF(B1000="","",TEXT(B1000,"mmm"))</f>
        <v/>
      </c>
    </row>
  </sheetData>
  <dataValidations count="1">
    <dataValidation sqref="C6:C1000" showDropDown="0" showInputMessage="0" showErrorMessage="0" allowBlank="1" type="list">
      <formula1>=Setup!$B$16:$B$45</formula1>
    </dataValidation>
  </dataValidations>
  <pageMargins left="0.75" right="0.75" top="1" bottom="1" header="0.5" footer="0.5"/>
</worksheet>
</file>

<file path=xl/worksheets/sheet4.xml><?xml version="1.0" encoding="utf-8"?>
<worksheet xmlns="http://schemas.openxmlformats.org/spreadsheetml/2006/main">
  <sheetPr>
    <tabColor rgb="002F6B4F"/>
    <outlinePr summaryBelow="1" summaryRight="1"/>
    <pageSetUpPr/>
  </sheetPr>
  <dimension ref="B2:F40"/>
  <sheetViews>
    <sheetView showGridLines="0" workbookViewId="0">
      <selection activeCell="A1" sqref="A1"/>
    </sheetView>
  </sheetViews>
  <sheetFormatPr baseColWidth="8" defaultRowHeight="15"/>
  <cols>
    <col width="3" customWidth="1" min="1" max="1"/>
    <col width="24" customWidth="1" min="2" max="2"/>
    <col width="15" customWidth="1" min="3" max="3"/>
    <col width="15" customWidth="1" min="4" max="4"/>
    <col width="15" customWidth="1" min="5" max="5"/>
    <col width="12" customWidth="1" min="6" max="6"/>
    <col width="4" customWidth="1" min="7" max="7"/>
    <col width="16" customWidth="1" min="8" max="8"/>
    <col width="16" customWidth="1" min="9" max="9"/>
  </cols>
  <sheetData>
    <row r="2" ht="30" customHeight="1">
      <c r="B2" s="1" t="inlineStr">
        <is>
          <t>Budget Dashboard</t>
        </is>
      </c>
    </row>
    <row r="3">
      <c r="B3" s="2" t="inlineStr">
        <is>
          <t>Pick a month - everything updates</t>
        </is>
      </c>
    </row>
    <row r="5">
      <c r="B5" s="9" t="inlineStr">
        <is>
          <t>Month</t>
        </is>
      </c>
      <c r="C5" s="13" t="inlineStr">
        <is>
          <t>Jan</t>
        </is>
      </c>
    </row>
    <row r="6">
      <c r="C6" s="14" t="inlineStr">
        <is>
          <t>Income</t>
        </is>
      </c>
      <c r="D6" s="14" t="inlineStr">
        <is>
          <t>Spent</t>
        </is>
      </c>
      <c r="E6" s="14" t="inlineStr">
        <is>
          <t>Budgeted</t>
        </is>
      </c>
      <c r="F6" s="14" t="inlineStr">
        <is>
          <t>Left</t>
        </is>
      </c>
    </row>
    <row r="7" ht="32" customHeight="1">
      <c r="B7" s="9" t="inlineStr">
        <is>
          <t>This month</t>
        </is>
      </c>
      <c r="C7" s="15">
        <f>Setup!D12</f>
        <v/>
      </c>
      <c r="D7" s="15">
        <f>SUMIFS(Transactions!$E$6:$E$1000,Transactions!$F$6:$F$1000,C5)</f>
        <v/>
      </c>
      <c r="E7" s="15">
        <f>Setup!D46</f>
        <v/>
      </c>
      <c r="F7" s="15">
        <f>C7-D7</f>
        <v/>
      </c>
    </row>
    <row r="8">
      <c r="B8" t="inlineStr">
        <is>
          <t>Savings rate</t>
        </is>
      </c>
      <c r="C8" s="16">
        <f>IFERROR(SUMIFS(Transactions!$E$6:$E$1000,Transactions!$F$6:$F$1000,C5,Transactions!$C$6:$C$1000,"*Fund")+SUMIFS(Transactions!$E$6:$E$1000,Transactions!$F$6:$F$1000,C5,Transactions!$C$6:$C$1000,"Retirement"),0)/C7</f>
        <v/>
      </c>
    </row>
    <row r="10" ht="22" customHeight="1">
      <c r="B10" s="6" t="inlineStr">
        <is>
          <t>Category</t>
        </is>
      </c>
      <c r="C10" s="6" t="inlineStr">
        <is>
          <t>Budget</t>
        </is>
      </c>
      <c r="D10" s="6" t="inlineStr">
        <is>
          <t>Actual</t>
        </is>
      </c>
      <c r="E10" s="6" t="inlineStr">
        <is>
          <t>Difference</t>
        </is>
      </c>
      <c r="F10" s="6" t="inlineStr">
        <is>
          <t>% used</t>
        </is>
      </c>
    </row>
    <row r="11">
      <c r="B11" s="17">
        <f>IF(Setup!B16="","",Setup!B16)</f>
        <v/>
      </c>
      <c r="C11" s="18">
        <f>IF(B11="","",Setup!D16)</f>
        <v/>
      </c>
      <c r="D11" s="18">
        <f>IF(B11="","",SUMIFS(Transactions!$E$6:$E$1000,Transactions!$C$6:$C$1000,B11,Transactions!$F$6:$F$1000,$C$5))</f>
        <v/>
      </c>
      <c r="E11" s="18">
        <f>IF(B11="","",C11-D11)</f>
        <v/>
      </c>
      <c r="F11" s="19">
        <f>IF(OR(B11="",C11=0),"",D11/C11)</f>
        <v/>
      </c>
    </row>
    <row r="12">
      <c r="B12" s="17">
        <f>IF(Setup!B17="","",Setup!B17)</f>
        <v/>
      </c>
      <c r="C12" s="18">
        <f>IF(B12="","",Setup!D17)</f>
        <v/>
      </c>
      <c r="D12" s="18">
        <f>IF(B12="","",SUMIFS(Transactions!$E$6:$E$1000,Transactions!$C$6:$C$1000,B12,Transactions!$F$6:$F$1000,$C$5))</f>
        <v/>
      </c>
      <c r="E12" s="18">
        <f>IF(B12="","",C12-D12)</f>
        <v/>
      </c>
      <c r="F12" s="19">
        <f>IF(OR(B12="",C12=0),"",D12/C12)</f>
        <v/>
      </c>
    </row>
    <row r="13">
      <c r="B13" s="17">
        <f>IF(Setup!B18="","",Setup!B18)</f>
        <v/>
      </c>
      <c r="C13" s="18">
        <f>IF(B13="","",Setup!D18)</f>
        <v/>
      </c>
      <c r="D13" s="18">
        <f>IF(B13="","",SUMIFS(Transactions!$E$6:$E$1000,Transactions!$C$6:$C$1000,B13,Transactions!$F$6:$F$1000,$C$5))</f>
        <v/>
      </c>
      <c r="E13" s="18">
        <f>IF(B13="","",C13-D13)</f>
        <v/>
      </c>
      <c r="F13" s="19">
        <f>IF(OR(B13="",C13=0),"",D13/C13)</f>
        <v/>
      </c>
    </row>
    <row r="14">
      <c r="B14" s="17">
        <f>IF(Setup!B19="","",Setup!B19)</f>
        <v/>
      </c>
      <c r="C14" s="18">
        <f>IF(B14="","",Setup!D19)</f>
        <v/>
      </c>
      <c r="D14" s="18">
        <f>IF(B14="","",SUMIFS(Transactions!$E$6:$E$1000,Transactions!$C$6:$C$1000,B14,Transactions!$F$6:$F$1000,$C$5))</f>
        <v/>
      </c>
      <c r="E14" s="18">
        <f>IF(B14="","",C14-D14)</f>
        <v/>
      </c>
      <c r="F14" s="19">
        <f>IF(OR(B14="",C14=0),"",D14/C14)</f>
        <v/>
      </c>
    </row>
    <row r="15">
      <c r="B15" s="17">
        <f>IF(Setup!B20="","",Setup!B20)</f>
        <v/>
      </c>
      <c r="C15" s="18">
        <f>IF(B15="","",Setup!D20)</f>
        <v/>
      </c>
      <c r="D15" s="18">
        <f>IF(B15="","",SUMIFS(Transactions!$E$6:$E$1000,Transactions!$C$6:$C$1000,B15,Transactions!$F$6:$F$1000,$C$5))</f>
        <v/>
      </c>
      <c r="E15" s="18">
        <f>IF(B15="","",C15-D15)</f>
        <v/>
      </c>
      <c r="F15" s="19">
        <f>IF(OR(B15="",C15=0),"",D15/C15)</f>
        <v/>
      </c>
    </row>
    <row r="16">
      <c r="B16" s="17">
        <f>IF(Setup!B21="","",Setup!B21)</f>
        <v/>
      </c>
      <c r="C16" s="18">
        <f>IF(B16="","",Setup!D21)</f>
        <v/>
      </c>
      <c r="D16" s="18">
        <f>IF(B16="","",SUMIFS(Transactions!$E$6:$E$1000,Transactions!$C$6:$C$1000,B16,Transactions!$F$6:$F$1000,$C$5))</f>
        <v/>
      </c>
      <c r="E16" s="18">
        <f>IF(B16="","",C16-D16)</f>
        <v/>
      </c>
      <c r="F16" s="19">
        <f>IF(OR(B16="",C16=0),"",D16/C16)</f>
        <v/>
      </c>
    </row>
    <row r="17">
      <c r="B17" s="17">
        <f>IF(Setup!B22="","",Setup!B22)</f>
        <v/>
      </c>
      <c r="C17" s="18">
        <f>IF(B17="","",Setup!D22)</f>
        <v/>
      </c>
      <c r="D17" s="18">
        <f>IF(B17="","",SUMIFS(Transactions!$E$6:$E$1000,Transactions!$C$6:$C$1000,B17,Transactions!$F$6:$F$1000,$C$5))</f>
        <v/>
      </c>
      <c r="E17" s="18">
        <f>IF(B17="","",C17-D17)</f>
        <v/>
      </c>
      <c r="F17" s="19">
        <f>IF(OR(B17="",C17=0),"",D17/C17)</f>
        <v/>
      </c>
    </row>
    <row r="18">
      <c r="B18" s="17">
        <f>IF(Setup!B23="","",Setup!B23)</f>
        <v/>
      </c>
      <c r="C18" s="18">
        <f>IF(B18="","",Setup!D23)</f>
        <v/>
      </c>
      <c r="D18" s="18">
        <f>IF(B18="","",SUMIFS(Transactions!$E$6:$E$1000,Transactions!$C$6:$C$1000,B18,Transactions!$F$6:$F$1000,$C$5))</f>
        <v/>
      </c>
      <c r="E18" s="18">
        <f>IF(B18="","",C18-D18)</f>
        <v/>
      </c>
      <c r="F18" s="19">
        <f>IF(OR(B18="",C18=0),"",D18/C18)</f>
        <v/>
      </c>
    </row>
    <row r="19">
      <c r="B19" s="17">
        <f>IF(Setup!B24="","",Setup!B24)</f>
        <v/>
      </c>
      <c r="C19" s="18">
        <f>IF(B19="","",Setup!D24)</f>
        <v/>
      </c>
      <c r="D19" s="18">
        <f>IF(B19="","",SUMIFS(Transactions!$E$6:$E$1000,Transactions!$C$6:$C$1000,B19,Transactions!$F$6:$F$1000,$C$5))</f>
        <v/>
      </c>
      <c r="E19" s="18">
        <f>IF(B19="","",C19-D19)</f>
        <v/>
      </c>
      <c r="F19" s="19">
        <f>IF(OR(B19="",C19=0),"",D19/C19)</f>
        <v/>
      </c>
    </row>
    <row r="20">
      <c r="B20" s="17">
        <f>IF(Setup!B25="","",Setup!B25)</f>
        <v/>
      </c>
      <c r="C20" s="18">
        <f>IF(B20="","",Setup!D25)</f>
        <v/>
      </c>
      <c r="D20" s="18">
        <f>IF(B20="","",SUMIFS(Transactions!$E$6:$E$1000,Transactions!$C$6:$C$1000,B20,Transactions!$F$6:$F$1000,$C$5))</f>
        <v/>
      </c>
      <c r="E20" s="18">
        <f>IF(B20="","",C20-D20)</f>
        <v/>
      </c>
      <c r="F20" s="19">
        <f>IF(OR(B20="",C20=0),"",D20/C20)</f>
        <v/>
      </c>
    </row>
    <row r="21">
      <c r="B21" s="17">
        <f>IF(Setup!B26="","",Setup!B26)</f>
        <v/>
      </c>
      <c r="C21" s="18">
        <f>IF(B21="","",Setup!D26)</f>
        <v/>
      </c>
      <c r="D21" s="18">
        <f>IF(B21="","",SUMIFS(Transactions!$E$6:$E$1000,Transactions!$C$6:$C$1000,B21,Transactions!$F$6:$F$1000,$C$5))</f>
        <v/>
      </c>
      <c r="E21" s="18">
        <f>IF(B21="","",C21-D21)</f>
        <v/>
      </c>
      <c r="F21" s="19">
        <f>IF(OR(B21="",C21=0),"",D21/C21)</f>
        <v/>
      </c>
    </row>
    <row r="22">
      <c r="B22" s="17">
        <f>IF(Setup!B27="","",Setup!B27)</f>
        <v/>
      </c>
      <c r="C22" s="18">
        <f>IF(B22="","",Setup!D27)</f>
        <v/>
      </c>
      <c r="D22" s="18">
        <f>IF(B22="","",SUMIFS(Transactions!$E$6:$E$1000,Transactions!$C$6:$C$1000,B22,Transactions!$F$6:$F$1000,$C$5))</f>
        <v/>
      </c>
      <c r="E22" s="18">
        <f>IF(B22="","",C22-D22)</f>
        <v/>
      </c>
      <c r="F22" s="19">
        <f>IF(OR(B22="",C22=0),"",D22/C22)</f>
        <v/>
      </c>
    </row>
    <row r="23">
      <c r="B23" s="17">
        <f>IF(Setup!B28="","",Setup!B28)</f>
        <v/>
      </c>
      <c r="C23" s="18">
        <f>IF(B23="","",Setup!D28)</f>
        <v/>
      </c>
      <c r="D23" s="18">
        <f>IF(B23="","",SUMIFS(Transactions!$E$6:$E$1000,Transactions!$C$6:$C$1000,B23,Transactions!$F$6:$F$1000,$C$5))</f>
        <v/>
      </c>
      <c r="E23" s="18">
        <f>IF(B23="","",C23-D23)</f>
        <v/>
      </c>
      <c r="F23" s="19">
        <f>IF(OR(B23="",C23=0),"",D23/C23)</f>
        <v/>
      </c>
    </row>
    <row r="24">
      <c r="B24" s="17">
        <f>IF(Setup!B29="","",Setup!B29)</f>
        <v/>
      </c>
      <c r="C24" s="18">
        <f>IF(B24="","",Setup!D29)</f>
        <v/>
      </c>
      <c r="D24" s="18">
        <f>IF(B24="","",SUMIFS(Transactions!$E$6:$E$1000,Transactions!$C$6:$C$1000,B24,Transactions!$F$6:$F$1000,$C$5))</f>
        <v/>
      </c>
      <c r="E24" s="18">
        <f>IF(B24="","",C24-D24)</f>
        <v/>
      </c>
      <c r="F24" s="19">
        <f>IF(OR(B24="",C24=0),"",D24/C24)</f>
        <v/>
      </c>
    </row>
    <row r="25">
      <c r="B25" s="17">
        <f>IF(Setup!B30="","",Setup!B30)</f>
        <v/>
      </c>
      <c r="C25" s="18">
        <f>IF(B25="","",Setup!D30)</f>
        <v/>
      </c>
      <c r="D25" s="18">
        <f>IF(B25="","",SUMIFS(Transactions!$E$6:$E$1000,Transactions!$C$6:$C$1000,B25,Transactions!$F$6:$F$1000,$C$5))</f>
        <v/>
      </c>
      <c r="E25" s="18">
        <f>IF(B25="","",C25-D25)</f>
        <v/>
      </c>
      <c r="F25" s="19">
        <f>IF(OR(B25="",C25=0),"",D25/C25)</f>
        <v/>
      </c>
    </row>
    <row r="26">
      <c r="B26" s="17">
        <f>IF(Setup!B31="","",Setup!B31)</f>
        <v/>
      </c>
      <c r="C26" s="18">
        <f>IF(B26="","",Setup!D31)</f>
        <v/>
      </c>
      <c r="D26" s="18">
        <f>IF(B26="","",SUMIFS(Transactions!$E$6:$E$1000,Transactions!$C$6:$C$1000,B26,Transactions!$F$6:$F$1000,$C$5))</f>
        <v/>
      </c>
      <c r="E26" s="18">
        <f>IF(B26="","",C26-D26)</f>
        <v/>
      </c>
      <c r="F26" s="19">
        <f>IF(OR(B26="",C26=0),"",D26/C26)</f>
        <v/>
      </c>
    </row>
    <row r="27">
      <c r="B27" s="17">
        <f>IF(Setup!B32="","",Setup!B32)</f>
        <v/>
      </c>
      <c r="C27" s="18">
        <f>IF(B27="","",Setup!D32)</f>
        <v/>
      </c>
      <c r="D27" s="18">
        <f>IF(B27="","",SUMIFS(Transactions!$E$6:$E$1000,Transactions!$C$6:$C$1000,B27,Transactions!$F$6:$F$1000,$C$5))</f>
        <v/>
      </c>
      <c r="E27" s="18">
        <f>IF(B27="","",C27-D27)</f>
        <v/>
      </c>
      <c r="F27" s="19">
        <f>IF(OR(B27="",C27=0),"",D27/C27)</f>
        <v/>
      </c>
    </row>
    <row r="28">
      <c r="B28" s="17">
        <f>IF(Setup!B33="","",Setup!B33)</f>
        <v/>
      </c>
      <c r="C28" s="18">
        <f>IF(B28="","",Setup!D33)</f>
        <v/>
      </c>
      <c r="D28" s="18">
        <f>IF(B28="","",SUMIFS(Transactions!$E$6:$E$1000,Transactions!$C$6:$C$1000,B28,Transactions!$F$6:$F$1000,$C$5))</f>
        <v/>
      </c>
      <c r="E28" s="18">
        <f>IF(B28="","",C28-D28)</f>
        <v/>
      </c>
      <c r="F28" s="19">
        <f>IF(OR(B28="",C28=0),"",D28/C28)</f>
        <v/>
      </c>
    </row>
    <row r="29">
      <c r="B29" s="17">
        <f>IF(Setup!B34="","",Setup!B34)</f>
        <v/>
      </c>
      <c r="C29" s="18">
        <f>IF(B29="","",Setup!D34)</f>
        <v/>
      </c>
      <c r="D29" s="18">
        <f>IF(B29="","",SUMIFS(Transactions!$E$6:$E$1000,Transactions!$C$6:$C$1000,B29,Transactions!$F$6:$F$1000,$C$5))</f>
        <v/>
      </c>
      <c r="E29" s="18">
        <f>IF(B29="","",C29-D29)</f>
        <v/>
      </c>
      <c r="F29" s="19">
        <f>IF(OR(B29="",C29=0),"",D29/C29)</f>
        <v/>
      </c>
    </row>
    <row r="30">
      <c r="B30" s="17">
        <f>IF(Setup!B35="","",Setup!B35)</f>
        <v/>
      </c>
      <c r="C30" s="18">
        <f>IF(B30="","",Setup!D35)</f>
        <v/>
      </c>
      <c r="D30" s="18">
        <f>IF(B30="","",SUMIFS(Transactions!$E$6:$E$1000,Transactions!$C$6:$C$1000,B30,Transactions!$F$6:$F$1000,$C$5))</f>
        <v/>
      </c>
      <c r="E30" s="18">
        <f>IF(B30="","",C30-D30)</f>
        <v/>
      </c>
      <c r="F30" s="19">
        <f>IF(OR(B30="",C30=0),"",D30/C30)</f>
        <v/>
      </c>
    </row>
    <row r="31">
      <c r="B31" s="17">
        <f>IF(Setup!B36="","",Setup!B36)</f>
        <v/>
      </c>
      <c r="C31" s="18">
        <f>IF(B31="","",Setup!D36)</f>
        <v/>
      </c>
      <c r="D31" s="18">
        <f>IF(B31="","",SUMIFS(Transactions!$E$6:$E$1000,Transactions!$C$6:$C$1000,B31,Transactions!$F$6:$F$1000,$C$5))</f>
        <v/>
      </c>
      <c r="E31" s="18">
        <f>IF(B31="","",C31-D31)</f>
        <v/>
      </c>
      <c r="F31" s="19">
        <f>IF(OR(B31="",C31=0),"",D31/C31)</f>
        <v/>
      </c>
    </row>
    <row r="32">
      <c r="B32" s="17">
        <f>IF(Setup!B37="","",Setup!B37)</f>
        <v/>
      </c>
      <c r="C32" s="18">
        <f>IF(B32="","",Setup!D37)</f>
        <v/>
      </c>
      <c r="D32" s="18">
        <f>IF(B32="","",SUMIFS(Transactions!$E$6:$E$1000,Transactions!$C$6:$C$1000,B32,Transactions!$F$6:$F$1000,$C$5))</f>
        <v/>
      </c>
      <c r="E32" s="18">
        <f>IF(B32="","",C32-D32)</f>
        <v/>
      </c>
      <c r="F32" s="19">
        <f>IF(OR(B32="",C32=0),"",D32/C32)</f>
        <v/>
      </c>
    </row>
    <row r="33">
      <c r="B33" s="17">
        <f>IF(Setup!B38="","",Setup!B38)</f>
        <v/>
      </c>
      <c r="C33" s="18">
        <f>IF(B33="","",Setup!D38)</f>
        <v/>
      </c>
      <c r="D33" s="18">
        <f>IF(B33="","",SUMIFS(Transactions!$E$6:$E$1000,Transactions!$C$6:$C$1000,B33,Transactions!$F$6:$F$1000,$C$5))</f>
        <v/>
      </c>
      <c r="E33" s="18">
        <f>IF(B33="","",C33-D33)</f>
        <v/>
      </c>
      <c r="F33" s="19">
        <f>IF(OR(B33="",C33=0),"",D33/C33)</f>
        <v/>
      </c>
    </row>
    <row r="34">
      <c r="B34" s="17">
        <f>IF(Setup!B39="","",Setup!B39)</f>
        <v/>
      </c>
      <c r="C34" s="18">
        <f>IF(B34="","",Setup!D39)</f>
        <v/>
      </c>
      <c r="D34" s="18">
        <f>IF(B34="","",SUMIFS(Transactions!$E$6:$E$1000,Transactions!$C$6:$C$1000,B34,Transactions!$F$6:$F$1000,$C$5))</f>
        <v/>
      </c>
      <c r="E34" s="18">
        <f>IF(B34="","",C34-D34)</f>
        <v/>
      </c>
      <c r="F34" s="19">
        <f>IF(OR(B34="",C34=0),"",D34/C34)</f>
        <v/>
      </c>
    </row>
    <row r="35">
      <c r="B35" s="17">
        <f>IF(Setup!B40="","",Setup!B40)</f>
        <v/>
      </c>
      <c r="C35" s="18">
        <f>IF(B35="","",Setup!D40)</f>
        <v/>
      </c>
      <c r="D35" s="18">
        <f>IF(B35="","",SUMIFS(Transactions!$E$6:$E$1000,Transactions!$C$6:$C$1000,B35,Transactions!$F$6:$F$1000,$C$5))</f>
        <v/>
      </c>
      <c r="E35" s="18">
        <f>IF(B35="","",C35-D35)</f>
        <v/>
      </c>
      <c r="F35" s="19">
        <f>IF(OR(B35="",C35=0),"",D35/C35)</f>
        <v/>
      </c>
    </row>
    <row r="36">
      <c r="B36" s="17">
        <f>IF(Setup!B41="","",Setup!B41)</f>
        <v/>
      </c>
      <c r="C36" s="18">
        <f>IF(B36="","",Setup!D41)</f>
        <v/>
      </c>
      <c r="D36" s="18">
        <f>IF(B36="","",SUMIFS(Transactions!$E$6:$E$1000,Transactions!$C$6:$C$1000,B36,Transactions!$F$6:$F$1000,$C$5))</f>
        <v/>
      </c>
      <c r="E36" s="18">
        <f>IF(B36="","",C36-D36)</f>
        <v/>
      </c>
      <c r="F36" s="19">
        <f>IF(OR(B36="",C36=0),"",D36/C36)</f>
        <v/>
      </c>
    </row>
    <row r="37">
      <c r="B37" s="17">
        <f>IF(Setup!B42="","",Setup!B42)</f>
        <v/>
      </c>
      <c r="C37" s="18">
        <f>IF(B37="","",Setup!D42)</f>
        <v/>
      </c>
      <c r="D37" s="18">
        <f>IF(B37="","",SUMIFS(Transactions!$E$6:$E$1000,Transactions!$C$6:$C$1000,B37,Transactions!$F$6:$F$1000,$C$5))</f>
        <v/>
      </c>
      <c r="E37" s="18">
        <f>IF(B37="","",C37-D37)</f>
        <v/>
      </c>
      <c r="F37" s="19">
        <f>IF(OR(B37="",C37=0),"",D37/C37)</f>
        <v/>
      </c>
    </row>
    <row r="38">
      <c r="B38" s="17">
        <f>IF(Setup!B43="","",Setup!B43)</f>
        <v/>
      </c>
      <c r="C38" s="18">
        <f>IF(B38="","",Setup!D43)</f>
        <v/>
      </c>
      <c r="D38" s="18">
        <f>IF(B38="","",SUMIFS(Transactions!$E$6:$E$1000,Transactions!$C$6:$C$1000,B38,Transactions!$F$6:$F$1000,$C$5))</f>
        <v/>
      </c>
      <c r="E38" s="18">
        <f>IF(B38="","",C38-D38)</f>
        <v/>
      </c>
      <c r="F38" s="19">
        <f>IF(OR(B38="",C38=0),"",D38/C38)</f>
        <v/>
      </c>
    </row>
    <row r="39">
      <c r="B39" s="17">
        <f>IF(Setup!B44="","",Setup!B44)</f>
        <v/>
      </c>
      <c r="C39" s="18">
        <f>IF(B39="","",Setup!D44)</f>
        <v/>
      </c>
      <c r="D39" s="18">
        <f>IF(B39="","",SUMIFS(Transactions!$E$6:$E$1000,Transactions!$C$6:$C$1000,B39,Transactions!$F$6:$F$1000,$C$5))</f>
        <v/>
      </c>
      <c r="E39" s="18">
        <f>IF(B39="","",C39-D39)</f>
        <v/>
      </c>
      <c r="F39" s="19">
        <f>IF(OR(B39="",C39=0),"",D39/C39)</f>
        <v/>
      </c>
    </row>
    <row r="40">
      <c r="B40" s="17">
        <f>IF(Setup!B45="","",Setup!B45)</f>
        <v/>
      </c>
      <c r="C40" s="18">
        <f>IF(B40="","",Setup!D45)</f>
        <v/>
      </c>
      <c r="D40" s="18">
        <f>IF(B40="","",SUMIFS(Transactions!$E$6:$E$1000,Transactions!$C$6:$C$1000,B40,Transactions!$F$6:$F$1000,$C$5))</f>
        <v/>
      </c>
      <c r="E40" s="18">
        <f>IF(B40="","",C40-D40)</f>
        <v/>
      </c>
      <c r="F40" s="19">
        <f>IF(OR(B40="",C40=0),"",D40/C40)</f>
        <v/>
      </c>
    </row>
  </sheetData>
  <conditionalFormatting sqref="F11:F40">
    <cfRule type="cellIs" priority="1" operator="greaterThan" dxfId="0">
      <formula>1</formula>
    </cfRule>
    <cfRule type="cellIs" priority="2" operator="between" dxfId="1">
      <formula>0.9</formula>
      <formula>1</formula>
    </cfRule>
  </conditionalFormatting>
  <conditionalFormatting sqref="E11:E40">
    <cfRule type="cellIs" priority="3" operator="lessThan" dxfId="2">
      <formula>0</formula>
    </cfRule>
  </conditionalFormatting>
  <dataValidations count="1">
    <dataValidation sqref="C5" showDropDown="0" showInputMessage="0" showErrorMessage="0" allowBlank="0" type="list">
      <formula1>"Jan,Feb,Mar,Apr,May,Jun,Jul,Aug,Sep,Oct,Nov,Dec"</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2F6B4F"/>
    <outlinePr summaryBelow="1" summaryRight="1"/>
    <pageSetUpPr/>
  </sheetPr>
  <dimension ref="B2:O38"/>
  <sheetViews>
    <sheetView showGridLines="0" workbookViewId="0">
      <selection activeCell="A1" sqref="A1"/>
    </sheetView>
  </sheetViews>
  <sheetFormatPr baseColWidth="8" defaultRowHeight="15"/>
  <cols>
    <col width="3"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2" ht="30" customHeight="1">
      <c r="B2" s="1" t="inlineStr">
        <is>
          <t>Annual Overview</t>
        </is>
      </c>
    </row>
    <row r="3">
      <c r="B3" s="2" t="inlineStr">
        <is>
          <t>2027 month by month</t>
        </is>
      </c>
    </row>
    <row r="5" ht="22" customHeight="1">
      <c r="B5" s="6" t="inlineStr">
        <is>
          <t>Category</t>
        </is>
      </c>
      <c r="C5" s="6" t="inlineStr">
        <is>
          <t>Jan</t>
        </is>
      </c>
      <c r="D5" s="6" t="inlineStr">
        <is>
          <t>Feb</t>
        </is>
      </c>
      <c r="E5" s="6" t="inlineStr">
        <is>
          <t>Mar</t>
        </is>
      </c>
      <c r="F5" s="6" t="inlineStr">
        <is>
          <t>Apr</t>
        </is>
      </c>
      <c r="G5" s="6" t="inlineStr">
        <is>
          <t>May</t>
        </is>
      </c>
      <c r="H5" s="6" t="inlineStr">
        <is>
          <t>Jun</t>
        </is>
      </c>
      <c r="I5" s="6" t="inlineStr">
        <is>
          <t>Jul</t>
        </is>
      </c>
      <c r="J5" s="6" t="inlineStr">
        <is>
          <t>Aug</t>
        </is>
      </c>
      <c r="K5" s="6" t="inlineStr">
        <is>
          <t>Sep</t>
        </is>
      </c>
      <c r="L5" s="6" t="inlineStr">
        <is>
          <t>Oct</t>
        </is>
      </c>
      <c r="M5" s="6" t="inlineStr">
        <is>
          <t>Nov</t>
        </is>
      </c>
      <c r="N5" s="6" t="inlineStr">
        <is>
          <t>Dec</t>
        </is>
      </c>
      <c r="O5" s="6" t="inlineStr">
        <is>
          <t>Total</t>
        </is>
      </c>
    </row>
    <row r="6">
      <c r="B6">
        <f>IF(Setup!B16="","",Setup!B16)</f>
        <v/>
      </c>
      <c r="C6" s="20">
        <f>IF($B6="","",SUMIFS(Transactions!$E$6:$E$1000,Transactions!$C$6:$C$1000,$B6,Transactions!$F$6:$F$1000,C$5))</f>
        <v/>
      </c>
      <c r="D6" s="20">
        <f>IF($B6="","",SUMIFS(Transactions!$E$6:$E$1000,Transactions!$C$6:$C$1000,$B6,Transactions!$F$6:$F$1000,D$5))</f>
        <v/>
      </c>
      <c r="E6" s="20">
        <f>IF($B6="","",SUMIFS(Transactions!$E$6:$E$1000,Transactions!$C$6:$C$1000,$B6,Transactions!$F$6:$F$1000,E$5))</f>
        <v/>
      </c>
      <c r="F6" s="20">
        <f>IF($B6="","",SUMIFS(Transactions!$E$6:$E$1000,Transactions!$C$6:$C$1000,$B6,Transactions!$F$6:$F$1000,F$5))</f>
        <v/>
      </c>
      <c r="G6" s="20">
        <f>IF($B6="","",SUMIFS(Transactions!$E$6:$E$1000,Transactions!$C$6:$C$1000,$B6,Transactions!$F$6:$F$1000,G$5))</f>
        <v/>
      </c>
      <c r="H6" s="20">
        <f>IF($B6="","",SUMIFS(Transactions!$E$6:$E$1000,Transactions!$C$6:$C$1000,$B6,Transactions!$F$6:$F$1000,H$5))</f>
        <v/>
      </c>
      <c r="I6" s="20">
        <f>IF($B6="","",SUMIFS(Transactions!$E$6:$E$1000,Transactions!$C$6:$C$1000,$B6,Transactions!$F$6:$F$1000,I$5))</f>
        <v/>
      </c>
      <c r="J6" s="20">
        <f>IF($B6="","",SUMIFS(Transactions!$E$6:$E$1000,Transactions!$C$6:$C$1000,$B6,Transactions!$F$6:$F$1000,J$5))</f>
        <v/>
      </c>
      <c r="K6" s="20">
        <f>IF($B6="","",SUMIFS(Transactions!$E$6:$E$1000,Transactions!$C$6:$C$1000,$B6,Transactions!$F$6:$F$1000,K$5))</f>
        <v/>
      </c>
      <c r="L6" s="20">
        <f>IF($B6="","",SUMIFS(Transactions!$E$6:$E$1000,Transactions!$C$6:$C$1000,$B6,Transactions!$F$6:$F$1000,L$5))</f>
        <v/>
      </c>
      <c r="M6" s="20">
        <f>IF($B6="","",SUMIFS(Transactions!$E$6:$E$1000,Transactions!$C$6:$C$1000,$B6,Transactions!$F$6:$F$1000,M$5))</f>
        <v/>
      </c>
      <c r="N6" s="20">
        <f>IF($B6="","",SUMIFS(Transactions!$E$6:$E$1000,Transactions!$C$6:$C$1000,$B6,Transactions!$F$6:$F$1000,N$5))</f>
        <v/>
      </c>
      <c r="O6" s="21">
        <f>IF(B6="","",SUM(C6:N6))</f>
        <v/>
      </c>
    </row>
    <row r="7">
      <c r="B7">
        <f>IF(Setup!B17="","",Setup!B17)</f>
        <v/>
      </c>
      <c r="C7" s="20">
        <f>IF($B7="","",SUMIFS(Transactions!$E$6:$E$1000,Transactions!$C$6:$C$1000,$B7,Transactions!$F$6:$F$1000,C$5))</f>
        <v/>
      </c>
      <c r="D7" s="20">
        <f>IF($B7="","",SUMIFS(Transactions!$E$6:$E$1000,Transactions!$C$6:$C$1000,$B7,Transactions!$F$6:$F$1000,D$5))</f>
        <v/>
      </c>
      <c r="E7" s="20">
        <f>IF($B7="","",SUMIFS(Transactions!$E$6:$E$1000,Transactions!$C$6:$C$1000,$B7,Transactions!$F$6:$F$1000,E$5))</f>
        <v/>
      </c>
      <c r="F7" s="20">
        <f>IF($B7="","",SUMIFS(Transactions!$E$6:$E$1000,Transactions!$C$6:$C$1000,$B7,Transactions!$F$6:$F$1000,F$5))</f>
        <v/>
      </c>
      <c r="G7" s="20">
        <f>IF($B7="","",SUMIFS(Transactions!$E$6:$E$1000,Transactions!$C$6:$C$1000,$B7,Transactions!$F$6:$F$1000,G$5))</f>
        <v/>
      </c>
      <c r="H7" s="20">
        <f>IF($B7="","",SUMIFS(Transactions!$E$6:$E$1000,Transactions!$C$6:$C$1000,$B7,Transactions!$F$6:$F$1000,H$5))</f>
        <v/>
      </c>
      <c r="I7" s="20">
        <f>IF($B7="","",SUMIFS(Transactions!$E$6:$E$1000,Transactions!$C$6:$C$1000,$B7,Transactions!$F$6:$F$1000,I$5))</f>
        <v/>
      </c>
      <c r="J7" s="20">
        <f>IF($B7="","",SUMIFS(Transactions!$E$6:$E$1000,Transactions!$C$6:$C$1000,$B7,Transactions!$F$6:$F$1000,J$5))</f>
        <v/>
      </c>
      <c r="K7" s="20">
        <f>IF($B7="","",SUMIFS(Transactions!$E$6:$E$1000,Transactions!$C$6:$C$1000,$B7,Transactions!$F$6:$F$1000,K$5))</f>
        <v/>
      </c>
      <c r="L7" s="20">
        <f>IF($B7="","",SUMIFS(Transactions!$E$6:$E$1000,Transactions!$C$6:$C$1000,$B7,Transactions!$F$6:$F$1000,L$5))</f>
        <v/>
      </c>
      <c r="M7" s="20">
        <f>IF($B7="","",SUMIFS(Transactions!$E$6:$E$1000,Transactions!$C$6:$C$1000,$B7,Transactions!$F$6:$F$1000,M$5))</f>
        <v/>
      </c>
      <c r="N7" s="20">
        <f>IF($B7="","",SUMIFS(Transactions!$E$6:$E$1000,Transactions!$C$6:$C$1000,$B7,Transactions!$F$6:$F$1000,N$5))</f>
        <v/>
      </c>
      <c r="O7" s="21">
        <f>IF(B7="","",SUM(C7:N7))</f>
        <v/>
      </c>
    </row>
    <row r="8">
      <c r="B8">
        <f>IF(Setup!B18="","",Setup!B18)</f>
        <v/>
      </c>
      <c r="C8" s="20">
        <f>IF($B8="","",SUMIFS(Transactions!$E$6:$E$1000,Transactions!$C$6:$C$1000,$B8,Transactions!$F$6:$F$1000,C$5))</f>
        <v/>
      </c>
      <c r="D8" s="20">
        <f>IF($B8="","",SUMIFS(Transactions!$E$6:$E$1000,Transactions!$C$6:$C$1000,$B8,Transactions!$F$6:$F$1000,D$5))</f>
        <v/>
      </c>
      <c r="E8" s="20">
        <f>IF($B8="","",SUMIFS(Transactions!$E$6:$E$1000,Transactions!$C$6:$C$1000,$B8,Transactions!$F$6:$F$1000,E$5))</f>
        <v/>
      </c>
      <c r="F8" s="20">
        <f>IF($B8="","",SUMIFS(Transactions!$E$6:$E$1000,Transactions!$C$6:$C$1000,$B8,Transactions!$F$6:$F$1000,F$5))</f>
        <v/>
      </c>
      <c r="G8" s="20">
        <f>IF($B8="","",SUMIFS(Transactions!$E$6:$E$1000,Transactions!$C$6:$C$1000,$B8,Transactions!$F$6:$F$1000,G$5))</f>
        <v/>
      </c>
      <c r="H8" s="20">
        <f>IF($B8="","",SUMIFS(Transactions!$E$6:$E$1000,Transactions!$C$6:$C$1000,$B8,Transactions!$F$6:$F$1000,H$5))</f>
        <v/>
      </c>
      <c r="I8" s="20">
        <f>IF($B8="","",SUMIFS(Transactions!$E$6:$E$1000,Transactions!$C$6:$C$1000,$B8,Transactions!$F$6:$F$1000,I$5))</f>
        <v/>
      </c>
      <c r="J8" s="20">
        <f>IF($B8="","",SUMIFS(Transactions!$E$6:$E$1000,Transactions!$C$6:$C$1000,$B8,Transactions!$F$6:$F$1000,J$5))</f>
        <v/>
      </c>
      <c r="K8" s="20">
        <f>IF($B8="","",SUMIFS(Transactions!$E$6:$E$1000,Transactions!$C$6:$C$1000,$B8,Transactions!$F$6:$F$1000,K$5))</f>
        <v/>
      </c>
      <c r="L8" s="20">
        <f>IF($B8="","",SUMIFS(Transactions!$E$6:$E$1000,Transactions!$C$6:$C$1000,$B8,Transactions!$F$6:$F$1000,L$5))</f>
        <v/>
      </c>
      <c r="M8" s="20">
        <f>IF($B8="","",SUMIFS(Transactions!$E$6:$E$1000,Transactions!$C$6:$C$1000,$B8,Transactions!$F$6:$F$1000,M$5))</f>
        <v/>
      </c>
      <c r="N8" s="20">
        <f>IF($B8="","",SUMIFS(Transactions!$E$6:$E$1000,Transactions!$C$6:$C$1000,$B8,Transactions!$F$6:$F$1000,N$5))</f>
        <v/>
      </c>
      <c r="O8" s="21">
        <f>IF(B8="","",SUM(C8:N8))</f>
        <v/>
      </c>
    </row>
    <row r="9">
      <c r="B9">
        <f>IF(Setup!B19="","",Setup!B19)</f>
        <v/>
      </c>
      <c r="C9" s="20">
        <f>IF($B9="","",SUMIFS(Transactions!$E$6:$E$1000,Transactions!$C$6:$C$1000,$B9,Transactions!$F$6:$F$1000,C$5))</f>
        <v/>
      </c>
      <c r="D9" s="20">
        <f>IF($B9="","",SUMIFS(Transactions!$E$6:$E$1000,Transactions!$C$6:$C$1000,$B9,Transactions!$F$6:$F$1000,D$5))</f>
        <v/>
      </c>
      <c r="E9" s="20">
        <f>IF($B9="","",SUMIFS(Transactions!$E$6:$E$1000,Transactions!$C$6:$C$1000,$B9,Transactions!$F$6:$F$1000,E$5))</f>
        <v/>
      </c>
      <c r="F9" s="20">
        <f>IF($B9="","",SUMIFS(Transactions!$E$6:$E$1000,Transactions!$C$6:$C$1000,$B9,Transactions!$F$6:$F$1000,F$5))</f>
        <v/>
      </c>
      <c r="G9" s="20">
        <f>IF($B9="","",SUMIFS(Transactions!$E$6:$E$1000,Transactions!$C$6:$C$1000,$B9,Transactions!$F$6:$F$1000,G$5))</f>
        <v/>
      </c>
      <c r="H9" s="20">
        <f>IF($B9="","",SUMIFS(Transactions!$E$6:$E$1000,Transactions!$C$6:$C$1000,$B9,Transactions!$F$6:$F$1000,H$5))</f>
        <v/>
      </c>
      <c r="I9" s="20">
        <f>IF($B9="","",SUMIFS(Transactions!$E$6:$E$1000,Transactions!$C$6:$C$1000,$B9,Transactions!$F$6:$F$1000,I$5))</f>
        <v/>
      </c>
      <c r="J9" s="20">
        <f>IF($B9="","",SUMIFS(Transactions!$E$6:$E$1000,Transactions!$C$6:$C$1000,$B9,Transactions!$F$6:$F$1000,J$5))</f>
        <v/>
      </c>
      <c r="K9" s="20">
        <f>IF($B9="","",SUMIFS(Transactions!$E$6:$E$1000,Transactions!$C$6:$C$1000,$B9,Transactions!$F$6:$F$1000,K$5))</f>
        <v/>
      </c>
      <c r="L9" s="20">
        <f>IF($B9="","",SUMIFS(Transactions!$E$6:$E$1000,Transactions!$C$6:$C$1000,$B9,Transactions!$F$6:$F$1000,L$5))</f>
        <v/>
      </c>
      <c r="M9" s="20">
        <f>IF($B9="","",SUMIFS(Transactions!$E$6:$E$1000,Transactions!$C$6:$C$1000,$B9,Transactions!$F$6:$F$1000,M$5))</f>
        <v/>
      </c>
      <c r="N9" s="20">
        <f>IF($B9="","",SUMIFS(Transactions!$E$6:$E$1000,Transactions!$C$6:$C$1000,$B9,Transactions!$F$6:$F$1000,N$5))</f>
        <v/>
      </c>
      <c r="O9" s="21">
        <f>IF(B9="","",SUM(C9:N9))</f>
        <v/>
      </c>
    </row>
    <row r="10">
      <c r="B10">
        <f>IF(Setup!B20="","",Setup!B20)</f>
        <v/>
      </c>
      <c r="C10" s="20">
        <f>IF($B10="","",SUMIFS(Transactions!$E$6:$E$1000,Transactions!$C$6:$C$1000,$B10,Transactions!$F$6:$F$1000,C$5))</f>
        <v/>
      </c>
      <c r="D10" s="20">
        <f>IF($B10="","",SUMIFS(Transactions!$E$6:$E$1000,Transactions!$C$6:$C$1000,$B10,Transactions!$F$6:$F$1000,D$5))</f>
        <v/>
      </c>
      <c r="E10" s="20">
        <f>IF($B10="","",SUMIFS(Transactions!$E$6:$E$1000,Transactions!$C$6:$C$1000,$B10,Transactions!$F$6:$F$1000,E$5))</f>
        <v/>
      </c>
      <c r="F10" s="20">
        <f>IF($B10="","",SUMIFS(Transactions!$E$6:$E$1000,Transactions!$C$6:$C$1000,$B10,Transactions!$F$6:$F$1000,F$5))</f>
        <v/>
      </c>
      <c r="G10" s="20">
        <f>IF($B10="","",SUMIFS(Transactions!$E$6:$E$1000,Transactions!$C$6:$C$1000,$B10,Transactions!$F$6:$F$1000,G$5))</f>
        <v/>
      </c>
      <c r="H10" s="20">
        <f>IF($B10="","",SUMIFS(Transactions!$E$6:$E$1000,Transactions!$C$6:$C$1000,$B10,Transactions!$F$6:$F$1000,H$5))</f>
        <v/>
      </c>
      <c r="I10" s="20">
        <f>IF($B10="","",SUMIFS(Transactions!$E$6:$E$1000,Transactions!$C$6:$C$1000,$B10,Transactions!$F$6:$F$1000,I$5))</f>
        <v/>
      </c>
      <c r="J10" s="20">
        <f>IF($B10="","",SUMIFS(Transactions!$E$6:$E$1000,Transactions!$C$6:$C$1000,$B10,Transactions!$F$6:$F$1000,J$5))</f>
        <v/>
      </c>
      <c r="K10" s="20">
        <f>IF($B10="","",SUMIFS(Transactions!$E$6:$E$1000,Transactions!$C$6:$C$1000,$B10,Transactions!$F$6:$F$1000,K$5))</f>
        <v/>
      </c>
      <c r="L10" s="20">
        <f>IF($B10="","",SUMIFS(Transactions!$E$6:$E$1000,Transactions!$C$6:$C$1000,$B10,Transactions!$F$6:$F$1000,L$5))</f>
        <v/>
      </c>
      <c r="M10" s="20">
        <f>IF($B10="","",SUMIFS(Transactions!$E$6:$E$1000,Transactions!$C$6:$C$1000,$B10,Transactions!$F$6:$F$1000,M$5))</f>
        <v/>
      </c>
      <c r="N10" s="20">
        <f>IF($B10="","",SUMIFS(Transactions!$E$6:$E$1000,Transactions!$C$6:$C$1000,$B10,Transactions!$F$6:$F$1000,N$5))</f>
        <v/>
      </c>
      <c r="O10" s="21">
        <f>IF(B10="","",SUM(C10:N10))</f>
        <v/>
      </c>
    </row>
    <row r="11">
      <c r="B11">
        <f>IF(Setup!B21="","",Setup!B21)</f>
        <v/>
      </c>
      <c r="C11" s="20">
        <f>IF($B11="","",SUMIFS(Transactions!$E$6:$E$1000,Transactions!$C$6:$C$1000,$B11,Transactions!$F$6:$F$1000,C$5))</f>
        <v/>
      </c>
      <c r="D11" s="20">
        <f>IF($B11="","",SUMIFS(Transactions!$E$6:$E$1000,Transactions!$C$6:$C$1000,$B11,Transactions!$F$6:$F$1000,D$5))</f>
        <v/>
      </c>
      <c r="E11" s="20">
        <f>IF($B11="","",SUMIFS(Transactions!$E$6:$E$1000,Transactions!$C$6:$C$1000,$B11,Transactions!$F$6:$F$1000,E$5))</f>
        <v/>
      </c>
      <c r="F11" s="20">
        <f>IF($B11="","",SUMIFS(Transactions!$E$6:$E$1000,Transactions!$C$6:$C$1000,$B11,Transactions!$F$6:$F$1000,F$5))</f>
        <v/>
      </c>
      <c r="G11" s="20">
        <f>IF($B11="","",SUMIFS(Transactions!$E$6:$E$1000,Transactions!$C$6:$C$1000,$B11,Transactions!$F$6:$F$1000,G$5))</f>
        <v/>
      </c>
      <c r="H11" s="20">
        <f>IF($B11="","",SUMIFS(Transactions!$E$6:$E$1000,Transactions!$C$6:$C$1000,$B11,Transactions!$F$6:$F$1000,H$5))</f>
        <v/>
      </c>
      <c r="I11" s="20">
        <f>IF($B11="","",SUMIFS(Transactions!$E$6:$E$1000,Transactions!$C$6:$C$1000,$B11,Transactions!$F$6:$F$1000,I$5))</f>
        <v/>
      </c>
      <c r="J11" s="20">
        <f>IF($B11="","",SUMIFS(Transactions!$E$6:$E$1000,Transactions!$C$6:$C$1000,$B11,Transactions!$F$6:$F$1000,J$5))</f>
        <v/>
      </c>
      <c r="K11" s="20">
        <f>IF($B11="","",SUMIFS(Transactions!$E$6:$E$1000,Transactions!$C$6:$C$1000,$B11,Transactions!$F$6:$F$1000,K$5))</f>
        <v/>
      </c>
      <c r="L11" s="20">
        <f>IF($B11="","",SUMIFS(Transactions!$E$6:$E$1000,Transactions!$C$6:$C$1000,$B11,Transactions!$F$6:$F$1000,L$5))</f>
        <v/>
      </c>
      <c r="M11" s="20">
        <f>IF($B11="","",SUMIFS(Transactions!$E$6:$E$1000,Transactions!$C$6:$C$1000,$B11,Transactions!$F$6:$F$1000,M$5))</f>
        <v/>
      </c>
      <c r="N11" s="20">
        <f>IF($B11="","",SUMIFS(Transactions!$E$6:$E$1000,Transactions!$C$6:$C$1000,$B11,Transactions!$F$6:$F$1000,N$5))</f>
        <v/>
      </c>
      <c r="O11" s="21">
        <f>IF(B11="","",SUM(C11:N11))</f>
        <v/>
      </c>
    </row>
    <row r="12">
      <c r="B12">
        <f>IF(Setup!B22="","",Setup!B22)</f>
        <v/>
      </c>
      <c r="C12" s="20">
        <f>IF($B12="","",SUMIFS(Transactions!$E$6:$E$1000,Transactions!$C$6:$C$1000,$B12,Transactions!$F$6:$F$1000,C$5))</f>
        <v/>
      </c>
      <c r="D12" s="20">
        <f>IF($B12="","",SUMIFS(Transactions!$E$6:$E$1000,Transactions!$C$6:$C$1000,$B12,Transactions!$F$6:$F$1000,D$5))</f>
        <v/>
      </c>
      <c r="E12" s="20">
        <f>IF($B12="","",SUMIFS(Transactions!$E$6:$E$1000,Transactions!$C$6:$C$1000,$B12,Transactions!$F$6:$F$1000,E$5))</f>
        <v/>
      </c>
      <c r="F12" s="20">
        <f>IF($B12="","",SUMIFS(Transactions!$E$6:$E$1000,Transactions!$C$6:$C$1000,$B12,Transactions!$F$6:$F$1000,F$5))</f>
        <v/>
      </c>
      <c r="G12" s="20">
        <f>IF($B12="","",SUMIFS(Transactions!$E$6:$E$1000,Transactions!$C$6:$C$1000,$B12,Transactions!$F$6:$F$1000,G$5))</f>
        <v/>
      </c>
      <c r="H12" s="20">
        <f>IF($B12="","",SUMIFS(Transactions!$E$6:$E$1000,Transactions!$C$6:$C$1000,$B12,Transactions!$F$6:$F$1000,H$5))</f>
        <v/>
      </c>
      <c r="I12" s="20">
        <f>IF($B12="","",SUMIFS(Transactions!$E$6:$E$1000,Transactions!$C$6:$C$1000,$B12,Transactions!$F$6:$F$1000,I$5))</f>
        <v/>
      </c>
      <c r="J12" s="20">
        <f>IF($B12="","",SUMIFS(Transactions!$E$6:$E$1000,Transactions!$C$6:$C$1000,$B12,Transactions!$F$6:$F$1000,J$5))</f>
        <v/>
      </c>
      <c r="K12" s="20">
        <f>IF($B12="","",SUMIFS(Transactions!$E$6:$E$1000,Transactions!$C$6:$C$1000,$B12,Transactions!$F$6:$F$1000,K$5))</f>
        <v/>
      </c>
      <c r="L12" s="20">
        <f>IF($B12="","",SUMIFS(Transactions!$E$6:$E$1000,Transactions!$C$6:$C$1000,$B12,Transactions!$F$6:$F$1000,L$5))</f>
        <v/>
      </c>
      <c r="M12" s="20">
        <f>IF($B12="","",SUMIFS(Transactions!$E$6:$E$1000,Transactions!$C$6:$C$1000,$B12,Transactions!$F$6:$F$1000,M$5))</f>
        <v/>
      </c>
      <c r="N12" s="20">
        <f>IF($B12="","",SUMIFS(Transactions!$E$6:$E$1000,Transactions!$C$6:$C$1000,$B12,Transactions!$F$6:$F$1000,N$5))</f>
        <v/>
      </c>
      <c r="O12" s="21">
        <f>IF(B12="","",SUM(C12:N12))</f>
        <v/>
      </c>
    </row>
    <row r="13">
      <c r="B13">
        <f>IF(Setup!B23="","",Setup!B23)</f>
        <v/>
      </c>
      <c r="C13" s="20">
        <f>IF($B13="","",SUMIFS(Transactions!$E$6:$E$1000,Transactions!$C$6:$C$1000,$B13,Transactions!$F$6:$F$1000,C$5))</f>
        <v/>
      </c>
      <c r="D13" s="20">
        <f>IF($B13="","",SUMIFS(Transactions!$E$6:$E$1000,Transactions!$C$6:$C$1000,$B13,Transactions!$F$6:$F$1000,D$5))</f>
        <v/>
      </c>
      <c r="E13" s="20">
        <f>IF($B13="","",SUMIFS(Transactions!$E$6:$E$1000,Transactions!$C$6:$C$1000,$B13,Transactions!$F$6:$F$1000,E$5))</f>
        <v/>
      </c>
      <c r="F13" s="20">
        <f>IF($B13="","",SUMIFS(Transactions!$E$6:$E$1000,Transactions!$C$6:$C$1000,$B13,Transactions!$F$6:$F$1000,F$5))</f>
        <v/>
      </c>
      <c r="G13" s="20">
        <f>IF($B13="","",SUMIFS(Transactions!$E$6:$E$1000,Transactions!$C$6:$C$1000,$B13,Transactions!$F$6:$F$1000,G$5))</f>
        <v/>
      </c>
      <c r="H13" s="20">
        <f>IF($B13="","",SUMIFS(Transactions!$E$6:$E$1000,Transactions!$C$6:$C$1000,$B13,Transactions!$F$6:$F$1000,H$5))</f>
        <v/>
      </c>
      <c r="I13" s="20">
        <f>IF($B13="","",SUMIFS(Transactions!$E$6:$E$1000,Transactions!$C$6:$C$1000,$B13,Transactions!$F$6:$F$1000,I$5))</f>
        <v/>
      </c>
      <c r="J13" s="20">
        <f>IF($B13="","",SUMIFS(Transactions!$E$6:$E$1000,Transactions!$C$6:$C$1000,$B13,Transactions!$F$6:$F$1000,J$5))</f>
        <v/>
      </c>
      <c r="K13" s="20">
        <f>IF($B13="","",SUMIFS(Transactions!$E$6:$E$1000,Transactions!$C$6:$C$1000,$B13,Transactions!$F$6:$F$1000,K$5))</f>
        <v/>
      </c>
      <c r="L13" s="20">
        <f>IF($B13="","",SUMIFS(Transactions!$E$6:$E$1000,Transactions!$C$6:$C$1000,$B13,Transactions!$F$6:$F$1000,L$5))</f>
        <v/>
      </c>
      <c r="M13" s="20">
        <f>IF($B13="","",SUMIFS(Transactions!$E$6:$E$1000,Transactions!$C$6:$C$1000,$B13,Transactions!$F$6:$F$1000,M$5))</f>
        <v/>
      </c>
      <c r="N13" s="20">
        <f>IF($B13="","",SUMIFS(Transactions!$E$6:$E$1000,Transactions!$C$6:$C$1000,$B13,Transactions!$F$6:$F$1000,N$5))</f>
        <v/>
      </c>
      <c r="O13" s="21">
        <f>IF(B13="","",SUM(C13:N13))</f>
        <v/>
      </c>
    </row>
    <row r="14">
      <c r="B14">
        <f>IF(Setup!B24="","",Setup!B24)</f>
        <v/>
      </c>
      <c r="C14" s="20">
        <f>IF($B14="","",SUMIFS(Transactions!$E$6:$E$1000,Transactions!$C$6:$C$1000,$B14,Transactions!$F$6:$F$1000,C$5))</f>
        <v/>
      </c>
      <c r="D14" s="20">
        <f>IF($B14="","",SUMIFS(Transactions!$E$6:$E$1000,Transactions!$C$6:$C$1000,$B14,Transactions!$F$6:$F$1000,D$5))</f>
        <v/>
      </c>
      <c r="E14" s="20">
        <f>IF($B14="","",SUMIFS(Transactions!$E$6:$E$1000,Transactions!$C$6:$C$1000,$B14,Transactions!$F$6:$F$1000,E$5))</f>
        <v/>
      </c>
      <c r="F14" s="20">
        <f>IF($B14="","",SUMIFS(Transactions!$E$6:$E$1000,Transactions!$C$6:$C$1000,$B14,Transactions!$F$6:$F$1000,F$5))</f>
        <v/>
      </c>
      <c r="G14" s="20">
        <f>IF($B14="","",SUMIFS(Transactions!$E$6:$E$1000,Transactions!$C$6:$C$1000,$B14,Transactions!$F$6:$F$1000,G$5))</f>
        <v/>
      </c>
      <c r="H14" s="20">
        <f>IF($B14="","",SUMIFS(Transactions!$E$6:$E$1000,Transactions!$C$6:$C$1000,$B14,Transactions!$F$6:$F$1000,H$5))</f>
        <v/>
      </c>
      <c r="I14" s="20">
        <f>IF($B14="","",SUMIFS(Transactions!$E$6:$E$1000,Transactions!$C$6:$C$1000,$B14,Transactions!$F$6:$F$1000,I$5))</f>
        <v/>
      </c>
      <c r="J14" s="20">
        <f>IF($B14="","",SUMIFS(Transactions!$E$6:$E$1000,Transactions!$C$6:$C$1000,$B14,Transactions!$F$6:$F$1000,J$5))</f>
        <v/>
      </c>
      <c r="K14" s="20">
        <f>IF($B14="","",SUMIFS(Transactions!$E$6:$E$1000,Transactions!$C$6:$C$1000,$B14,Transactions!$F$6:$F$1000,K$5))</f>
        <v/>
      </c>
      <c r="L14" s="20">
        <f>IF($B14="","",SUMIFS(Transactions!$E$6:$E$1000,Transactions!$C$6:$C$1000,$B14,Transactions!$F$6:$F$1000,L$5))</f>
        <v/>
      </c>
      <c r="M14" s="20">
        <f>IF($B14="","",SUMIFS(Transactions!$E$6:$E$1000,Transactions!$C$6:$C$1000,$B14,Transactions!$F$6:$F$1000,M$5))</f>
        <v/>
      </c>
      <c r="N14" s="20">
        <f>IF($B14="","",SUMIFS(Transactions!$E$6:$E$1000,Transactions!$C$6:$C$1000,$B14,Transactions!$F$6:$F$1000,N$5))</f>
        <v/>
      </c>
      <c r="O14" s="21">
        <f>IF(B14="","",SUM(C14:N14))</f>
        <v/>
      </c>
    </row>
    <row r="15">
      <c r="B15">
        <f>IF(Setup!B25="","",Setup!B25)</f>
        <v/>
      </c>
      <c r="C15" s="20">
        <f>IF($B15="","",SUMIFS(Transactions!$E$6:$E$1000,Transactions!$C$6:$C$1000,$B15,Transactions!$F$6:$F$1000,C$5))</f>
        <v/>
      </c>
      <c r="D15" s="20">
        <f>IF($B15="","",SUMIFS(Transactions!$E$6:$E$1000,Transactions!$C$6:$C$1000,$B15,Transactions!$F$6:$F$1000,D$5))</f>
        <v/>
      </c>
      <c r="E15" s="20">
        <f>IF($B15="","",SUMIFS(Transactions!$E$6:$E$1000,Transactions!$C$6:$C$1000,$B15,Transactions!$F$6:$F$1000,E$5))</f>
        <v/>
      </c>
      <c r="F15" s="20">
        <f>IF($B15="","",SUMIFS(Transactions!$E$6:$E$1000,Transactions!$C$6:$C$1000,$B15,Transactions!$F$6:$F$1000,F$5))</f>
        <v/>
      </c>
      <c r="G15" s="20">
        <f>IF($B15="","",SUMIFS(Transactions!$E$6:$E$1000,Transactions!$C$6:$C$1000,$B15,Transactions!$F$6:$F$1000,G$5))</f>
        <v/>
      </c>
      <c r="H15" s="20">
        <f>IF($B15="","",SUMIFS(Transactions!$E$6:$E$1000,Transactions!$C$6:$C$1000,$B15,Transactions!$F$6:$F$1000,H$5))</f>
        <v/>
      </c>
      <c r="I15" s="20">
        <f>IF($B15="","",SUMIFS(Transactions!$E$6:$E$1000,Transactions!$C$6:$C$1000,$B15,Transactions!$F$6:$F$1000,I$5))</f>
        <v/>
      </c>
      <c r="J15" s="20">
        <f>IF($B15="","",SUMIFS(Transactions!$E$6:$E$1000,Transactions!$C$6:$C$1000,$B15,Transactions!$F$6:$F$1000,J$5))</f>
        <v/>
      </c>
      <c r="K15" s="20">
        <f>IF($B15="","",SUMIFS(Transactions!$E$6:$E$1000,Transactions!$C$6:$C$1000,$B15,Transactions!$F$6:$F$1000,K$5))</f>
        <v/>
      </c>
      <c r="L15" s="20">
        <f>IF($B15="","",SUMIFS(Transactions!$E$6:$E$1000,Transactions!$C$6:$C$1000,$B15,Transactions!$F$6:$F$1000,L$5))</f>
        <v/>
      </c>
      <c r="M15" s="20">
        <f>IF($B15="","",SUMIFS(Transactions!$E$6:$E$1000,Transactions!$C$6:$C$1000,$B15,Transactions!$F$6:$F$1000,M$5))</f>
        <v/>
      </c>
      <c r="N15" s="20">
        <f>IF($B15="","",SUMIFS(Transactions!$E$6:$E$1000,Transactions!$C$6:$C$1000,$B15,Transactions!$F$6:$F$1000,N$5))</f>
        <v/>
      </c>
      <c r="O15" s="21">
        <f>IF(B15="","",SUM(C15:N15))</f>
        <v/>
      </c>
    </row>
    <row r="16">
      <c r="B16">
        <f>IF(Setup!B26="","",Setup!B26)</f>
        <v/>
      </c>
      <c r="C16" s="20">
        <f>IF($B16="","",SUMIFS(Transactions!$E$6:$E$1000,Transactions!$C$6:$C$1000,$B16,Transactions!$F$6:$F$1000,C$5))</f>
        <v/>
      </c>
      <c r="D16" s="20">
        <f>IF($B16="","",SUMIFS(Transactions!$E$6:$E$1000,Transactions!$C$6:$C$1000,$B16,Transactions!$F$6:$F$1000,D$5))</f>
        <v/>
      </c>
      <c r="E16" s="20">
        <f>IF($B16="","",SUMIFS(Transactions!$E$6:$E$1000,Transactions!$C$6:$C$1000,$B16,Transactions!$F$6:$F$1000,E$5))</f>
        <v/>
      </c>
      <c r="F16" s="20">
        <f>IF($B16="","",SUMIFS(Transactions!$E$6:$E$1000,Transactions!$C$6:$C$1000,$B16,Transactions!$F$6:$F$1000,F$5))</f>
        <v/>
      </c>
      <c r="G16" s="20">
        <f>IF($B16="","",SUMIFS(Transactions!$E$6:$E$1000,Transactions!$C$6:$C$1000,$B16,Transactions!$F$6:$F$1000,G$5))</f>
        <v/>
      </c>
      <c r="H16" s="20">
        <f>IF($B16="","",SUMIFS(Transactions!$E$6:$E$1000,Transactions!$C$6:$C$1000,$B16,Transactions!$F$6:$F$1000,H$5))</f>
        <v/>
      </c>
      <c r="I16" s="20">
        <f>IF($B16="","",SUMIFS(Transactions!$E$6:$E$1000,Transactions!$C$6:$C$1000,$B16,Transactions!$F$6:$F$1000,I$5))</f>
        <v/>
      </c>
      <c r="J16" s="20">
        <f>IF($B16="","",SUMIFS(Transactions!$E$6:$E$1000,Transactions!$C$6:$C$1000,$B16,Transactions!$F$6:$F$1000,J$5))</f>
        <v/>
      </c>
      <c r="K16" s="20">
        <f>IF($B16="","",SUMIFS(Transactions!$E$6:$E$1000,Transactions!$C$6:$C$1000,$B16,Transactions!$F$6:$F$1000,K$5))</f>
        <v/>
      </c>
      <c r="L16" s="20">
        <f>IF($B16="","",SUMIFS(Transactions!$E$6:$E$1000,Transactions!$C$6:$C$1000,$B16,Transactions!$F$6:$F$1000,L$5))</f>
        <v/>
      </c>
      <c r="M16" s="20">
        <f>IF($B16="","",SUMIFS(Transactions!$E$6:$E$1000,Transactions!$C$6:$C$1000,$B16,Transactions!$F$6:$F$1000,M$5))</f>
        <v/>
      </c>
      <c r="N16" s="20">
        <f>IF($B16="","",SUMIFS(Transactions!$E$6:$E$1000,Transactions!$C$6:$C$1000,$B16,Transactions!$F$6:$F$1000,N$5))</f>
        <v/>
      </c>
      <c r="O16" s="21">
        <f>IF(B16="","",SUM(C16:N16))</f>
        <v/>
      </c>
    </row>
    <row r="17">
      <c r="B17">
        <f>IF(Setup!B27="","",Setup!B27)</f>
        <v/>
      </c>
      <c r="C17" s="20">
        <f>IF($B17="","",SUMIFS(Transactions!$E$6:$E$1000,Transactions!$C$6:$C$1000,$B17,Transactions!$F$6:$F$1000,C$5))</f>
        <v/>
      </c>
      <c r="D17" s="20">
        <f>IF($B17="","",SUMIFS(Transactions!$E$6:$E$1000,Transactions!$C$6:$C$1000,$B17,Transactions!$F$6:$F$1000,D$5))</f>
        <v/>
      </c>
      <c r="E17" s="20">
        <f>IF($B17="","",SUMIFS(Transactions!$E$6:$E$1000,Transactions!$C$6:$C$1000,$B17,Transactions!$F$6:$F$1000,E$5))</f>
        <v/>
      </c>
      <c r="F17" s="20">
        <f>IF($B17="","",SUMIFS(Transactions!$E$6:$E$1000,Transactions!$C$6:$C$1000,$B17,Transactions!$F$6:$F$1000,F$5))</f>
        <v/>
      </c>
      <c r="G17" s="20">
        <f>IF($B17="","",SUMIFS(Transactions!$E$6:$E$1000,Transactions!$C$6:$C$1000,$B17,Transactions!$F$6:$F$1000,G$5))</f>
        <v/>
      </c>
      <c r="H17" s="20">
        <f>IF($B17="","",SUMIFS(Transactions!$E$6:$E$1000,Transactions!$C$6:$C$1000,$B17,Transactions!$F$6:$F$1000,H$5))</f>
        <v/>
      </c>
      <c r="I17" s="20">
        <f>IF($B17="","",SUMIFS(Transactions!$E$6:$E$1000,Transactions!$C$6:$C$1000,$B17,Transactions!$F$6:$F$1000,I$5))</f>
        <v/>
      </c>
      <c r="J17" s="20">
        <f>IF($B17="","",SUMIFS(Transactions!$E$6:$E$1000,Transactions!$C$6:$C$1000,$B17,Transactions!$F$6:$F$1000,J$5))</f>
        <v/>
      </c>
      <c r="K17" s="20">
        <f>IF($B17="","",SUMIFS(Transactions!$E$6:$E$1000,Transactions!$C$6:$C$1000,$B17,Transactions!$F$6:$F$1000,K$5))</f>
        <v/>
      </c>
      <c r="L17" s="20">
        <f>IF($B17="","",SUMIFS(Transactions!$E$6:$E$1000,Transactions!$C$6:$C$1000,$B17,Transactions!$F$6:$F$1000,L$5))</f>
        <v/>
      </c>
      <c r="M17" s="20">
        <f>IF($B17="","",SUMIFS(Transactions!$E$6:$E$1000,Transactions!$C$6:$C$1000,$B17,Transactions!$F$6:$F$1000,M$5))</f>
        <v/>
      </c>
      <c r="N17" s="20">
        <f>IF($B17="","",SUMIFS(Transactions!$E$6:$E$1000,Transactions!$C$6:$C$1000,$B17,Transactions!$F$6:$F$1000,N$5))</f>
        <v/>
      </c>
      <c r="O17" s="21">
        <f>IF(B17="","",SUM(C17:N17))</f>
        <v/>
      </c>
    </row>
    <row r="18">
      <c r="B18">
        <f>IF(Setup!B28="","",Setup!B28)</f>
        <v/>
      </c>
      <c r="C18" s="20">
        <f>IF($B18="","",SUMIFS(Transactions!$E$6:$E$1000,Transactions!$C$6:$C$1000,$B18,Transactions!$F$6:$F$1000,C$5))</f>
        <v/>
      </c>
      <c r="D18" s="20">
        <f>IF($B18="","",SUMIFS(Transactions!$E$6:$E$1000,Transactions!$C$6:$C$1000,$B18,Transactions!$F$6:$F$1000,D$5))</f>
        <v/>
      </c>
      <c r="E18" s="20">
        <f>IF($B18="","",SUMIFS(Transactions!$E$6:$E$1000,Transactions!$C$6:$C$1000,$B18,Transactions!$F$6:$F$1000,E$5))</f>
        <v/>
      </c>
      <c r="F18" s="20">
        <f>IF($B18="","",SUMIFS(Transactions!$E$6:$E$1000,Transactions!$C$6:$C$1000,$B18,Transactions!$F$6:$F$1000,F$5))</f>
        <v/>
      </c>
      <c r="G18" s="20">
        <f>IF($B18="","",SUMIFS(Transactions!$E$6:$E$1000,Transactions!$C$6:$C$1000,$B18,Transactions!$F$6:$F$1000,G$5))</f>
        <v/>
      </c>
      <c r="H18" s="20">
        <f>IF($B18="","",SUMIFS(Transactions!$E$6:$E$1000,Transactions!$C$6:$C$1000,$B18,Transactions!$F$6:$F$1000,H$5))</f>
        <v/>
      </c>
      <c r="I18" s="20">
        <f>IF($B18="","",SUMIFS(Transactions!$E$6:$E$1000,Transactions!$C$6:$C$1000,$B18,Transactions!$F$6:$F$1000,I$5))</f>
        <v/>
      </c>
      <c r="J18" s="20">
        <f>IF($B18="","",SUMIFS(Transactions!$E$6:$E$1000,Transactions!$C$6:$C$1000,$B18,Transactions!$F$6:$F$1000,J$5))</f>
        <v/>
      </c>
      <c r="K18" s="20">
        <f>IF($B18="","",SUMIFS(Transactions!$E$6:$E$1000,Transactions!$C$6:$C$1000,$B18,Transactions!$F$6:$F$1000,K$5))</f>
        <v/>
      </c>
      <c r="L18" s="20">
        <f>IF($B18="","",SUMIFS(Transactions!$E$6:$E$1000,Transactions!$C$6:$C$1000,$B18,Transactions!$F$6:$F$1000,L$5))</f>
        <v/>
      </c>
      <c r="M18" s="20">
        <f>IF($B18="","",SUMIFS(Transactions!$E$6:$E$1000,Transactions!$C$6:$C$1000,$B18,Transactions!$F$6:$F$1000,M$5))</f>
        <v/>
      </c>
      <c r="N18" s="20">
        <f>IF($B18="","",SUMIFS(Transactions!$E$6:$E$1000,Transactions!$C$6:$C$1000,$B18,Transactions!$F$6:$F$1000,N$5))</f>
        <v/>
      </c>
      <c r="O18" s="21">
        <f>IF(B18="","",SUM(C18:N18))</f>
        <v/>
      </c>
    </row>
    <row r="19">
      <c r="B19">
        <f>IF(Setup!B29="","",Setup!B29)</f>
        <v/>
      </c>
      <c r="C19" s="20">
        <f>IF($B19="","",SUMIFS(Transactions!$E$6:$E$1000,Transactions!$C$6:$C$1000,$B19,Transactions!$F$6:$F$1000,C$5))</f>
        <v/>
      </c>
      <c r="D19" s="20">
        <f>IF($B19="","",SUMIFS(Transactions!$E$6:$E$1000,Transactions!$C$6:$C$1000,$B19,Transactions!$F$6:$F$1000,D$5))</f>
        <v/>
      </c>
      <c r="E19" s="20">
        <f>IF($B19="","",SUMIFS(Transactions!$E$6:$E$1000,Transactions!$C$6:$C$1000,$B19,Transactions!$F$6:$F$1000,E$5))</f>
        <v/>
      </c>
      <c r="F19" s="20">
        <f>IF($B19="","",SUMIFS(Transactions!$E$6:$E$1000,Transactions!$C$6:$C$1000,$B19,Transactions!$F$6:$F$1000,F$5))</f>
        <v/>
      </c>
      <c r="G19" s="20">
        <f>IF($B19="","",SUMIFS(Transactions!$E$6:$E$1000,Transactions!$C$6:$C$1000,$B19,Transactions!$F$6:$F$1000,G$5))</f>
        <v/>
      </c>
      <c r="H19" s="20">
        <f>IF($B19="","",SUMIFS(Transactions!$E$6:$E$1000,Transactions!$C$6:$C$1000,$B19,Transactions!$F$6:$F$1000,H$5))</f>
        <v/>
      </c>
      <c r="I19" s="20">
        <f>IF($B19="","",SUMIFS(Transactions!$E$6:$E$1000,Transactions!$C$6:$C$1000,$B19,Transactions!$F$6:$F$1000,I$5))</f>
        <v/>
      </c>
      <c r="J19" s="20">
        <f>IF($B19="","",SUMIFS(Transactions!$E$6:$E$1000,Transactions!$C$6:$C$1000,$B19,Transactions!$F$6:$F$1000,J$5))</f>
        <v/>
      </c>
      <c r="K19" s="20">
        <f>IF($B19="","",SUMIFS(Transactions!$E$6:$E$1000,Transactions!$C$6:$C$1000,$B19,Transactions!$F$6:$F$1000,K$5))</f>
        <v/>
      </c>
      <c r="L19" s="20">
        <f>IF($B19="","",SUMIFS(Transactions!$E$6:$E$1000,Transactions!$C$6:$C$1000,$B19,Transactions!$F$6:$F$1000,L$5))</f>
        <v/>
      </c>
      <c r="M19" s="20">
        <f>IF($B19="","",SUMIFS(Transactions!$E$6:$E$1000,Transactions!$C$6:$C$1000,$B19,Transactions!$F$6:$F$1000,M$5))</f>
        <v/>
      </c>
      <c r="N19" s="20">
        <f>IF($B19="","",SUMIFS(Transactions!$E$6:$E$1000,Transactions!$C$6:$C$1000,$B19,Transactions!$F$6:$F$1000,N$5))</f>
        <v/>
      </c>
      <c r="O19" s="21">
        <f>IF(B19="","",SUM(C19:N19))</f>
        <v/>
      </c>
    </row>
    <row r="20">
      <c r="B20">
        <f>IF(Setup!B30="","",Setup!B30)</f>
        <v/>
      </c>
      <c r="C20" s="20">
        <f>IF($B20="","",SUMIFS(Transactions!$E$6:$E$1000,Transactions!$C$6:$C$1000,$B20,Transactions!$F$6:$F$1000,C$5))</f>
        <v/>
      </c>
      <c r="D20" s="20">
        <f>IF($B20="","",SUMIFS(Transactions!$E$6:$E$1000,Transactions!$C$6:$C$1000,$B20,Transactions!$F$6:$F$1000,D$5))</f>
        <v/>
      </c>
      <c r="E20" s="20">
        <f>IF($B20="","",SUMIFS(Transactions!$E$6:$E$1000,Transactions!$C$6:$C$1000,$B20,Transactions!$F$6:$F$1000,E$5))</f>
        <v/>
      </c>
      <c r="F20" s="20">
        <f>IF($B20="","",SUMIFS(Transactions!$E$6:$E$1000,Transactions!$C$6:$C$1000,$B20,Transactions!$F$6:$F$1000,F$5))</f>
        <v/>
      </c>
      <c r="G20" s="20">
        <f>IF($B20="","",SUMIFS(Transactions!$E$6:$E$1000,Transactions!$C$6:$C$1000,$B20,Transactions!$F$6:$F$1000,G$5))</f>
        <v/>
      </c>
      <c r="H20" s="20">
        <f>IF($B20="","",SUMIFS(Transactions!$E$6:$E$1000,Transactions!$C$6:$C$1000,$B20,Transactions!$F$6:$F$1000,H$5))</f>
        <v/>
      </c>
      <c r="I20" s="20">
        <f>IF($B20="","",SUMIFS(Transactions!$E$6:$E$1000,Transactions!$C$6:$C$1000,$B20,Transactions!$F$6:$F$1000,I$5))</f>
        <v/>
      </c>
      <c r="J20" s="20">
        <f>IF($B20="","",SUMIFS(Transactions!$E$6:$E$1000,Transactions!$C$6:$C$1000,$B20,Transactions!$F$6:$F$1000,J$5))</f>
        <v/>
      </c>
      <c r="K20" s="20">
        <f>IF($B20="","",SUMIFS(Transactions!$E$6:$E$1000,Transactions!$C$6:$C$1000,$B20,Transactions!$F$6:$F$1000,K$5))</f>
        <v/>
      </c>
      <c r="L20" s="20">
        <f>IF($B20="","",SUMIFS(Transactions!$E$6:$E$1000,Transactions!$C$6:$C$1000,$B20,Transactions!$F$6:$F$1000,L$5))</f>
        <v/>
      </c>
      <c r="M20" s="20">
        <f>IF($B20="","",SUMIFS(Transactions!$E$6:$E$1000,Transactions!$C$6:$C$1000,$B20,Transactions!$F$6:$F$1000,M$5))</f>
        <v/>
      </c>
      <c r="N20" s="20">
        <f>IF($B20="","",SUMIFS(Transactions!$E$6:$E$1000,Transactions!$C$6:$C$1000,$B20,Transactions!$F$6:$F$1000,N$5))</f>
        <v/>
      </c>
      <c r="O20" s="21">
        <f>IF(B20="","",SUM(C20:N20))</f>
        <v/>
      </c>
    </row>
    <row r="21">
      <c r="B21">
        <f>IF(Setup!B31="","",Setup!B31)</f>
        <v/>
      </c>
      <c r="C21" s="20">
        <f>IF($B21="","",SUMIFS(Transactions!$E$6:$E$1000,Transactions!$C$6:$C$1000,$B21,Transactions!$F$6:$F$1000,C$5))</f>
        <v/>
      </c>
      <c r="D21" s="20">
        <f>IF($B21="","",SUMIFS(Transactions!$E$6:$E$1000,Transactions!$C$6:$C$1000,$B21,Transactions!$F$6:$F$1000,D$5))</f>
        <v/>
      </c>
      <c r="E21" s="20">
        <f>IF($B21="","",SUMIFS(Transactions!$E$6:$E$1000,Transactions!$C$6:$C$1000,$B21,Transactions!$F$6:$F$1000,E$5))</f>
        <v/>
      </c>
      <c r="F21" s="20">
        <f>IF($B21="","",SUMIFS(Transactions!$E$6:$E$1000,Transactions!$C$6:$C$1000,$B21,Transactions!$F$6:$F$1000,F$5))</f>
        <v/>
      </c>
      <c r="G21" s="20">
        <f>IF($B21="","",SUMIFS(Transactions!$E$6:$E$1000,Transactions!$C$6:$C$1000,$B21,Transactions!$F$6:$F$1000,G$5))</f>
        <v/>
      </c>
      <c r="H21" s="20">
        <f>IF($B21="","",SUMIFS(Transactions!$E$6:$E$1000,Transactions!$C$6:$C$1000,$B21,Transactions!$F$6:$F$1000,H$5))</f>
        <v/>
      </c>
      <c r="I21" s="20">
        <f>IF($B21="","",SUMIFS(Transactions!$E$6:$E$1000,Transactions!$C$6:$C$1000,$B21,Transactions!$F$6:$F$1000,I$5))</f>
        <v/>
      </c>
      <c r="J21" s="20">
        <f>IF($B21="","",SUMIFS(Transactions!$E$6:$E$1000,Transactions!$C$6:$C$1000,$B21,Transactions!$F$6:$F$1000,J$5))</f>
        <v/>
      </c>
      <c r="K21" s="20">
        <f>IF($B21="","",SUMIFS(Transactions!$E$6:$E$1000,Transactions!$C$6:$C$1000,$B21,Transactions!$F$6:$F$1000,K$5))</f>
        <v/>
      </c>
      <c r="L21" s="20">
        <f>IF($B21="","",SUMIFS(Transactions!$E$6:$E$1000,Transactions!$C$6:$C$1000,$B21,Transactions!$F$6:$F$1000,L$5))</f>
        <v/>
      </c>
      <c r="M21" s="20">
        <f>IF($B21="","",SUMIFS(Transactions!$E$6:$E$1000,Transactions!$C$6:$C$1000,$B21,Transactions!$F$6:$F$1000,M$5))</f>
        <v/>
      </c>
      <c r="N21" s="20">
        <f>IF($B21="","",SUMIFS(Transactions!$E$6:$E$1000,Transactions!$C$6:$C$1000,$B21,Transactions!$F$6:$F$1000,N$5))</f>
        <v/>
      </c>
      <c r="O21" s="21">
        <f>IF(B21="","",SUM(C21:N21))</f>
        <v/>
      </c>
    </row>
    <row r="22">
      <c r="B22">
        <f>IF(Setup!B32="","",Setup!B32)</f>
        <v/>
      </c>
      <c r="C22" s="20">
        <f>IF($B22="","",SUMIFS(Transactions!$E$6:$E$1000,Transactions!$C$6:$C$1000,$B22,Transactions!$F$6:$F$1000,C$5))</f>
        <v/>
      </c>
      <c r="D22" s="20">
        <f>IF($B22="","",SUMIFS(Transactions!$E$6:$E$1000,Transactions!$C$6:$C$1000,$B22,Transactions!$F$6:$F$1000,D$5))</f>
        <v/>
      </c>
      <c r="E22" s="20">
        <f>IF($B22="","",SUMIFS(Transactions!$E$6:$E$1000,Transactions!$C$6:$C$1000,$B22,Transactions!$F$6:$F$1000,E$5))</f>
        <v/>
      </c>
      <c r="F22" s="20">
        <f>IF($B22="","",SUMIFS(Transactions!$E$6:$E$1000,Transactions!$C$6:$C$1000,$B22,Transactions!$F$6:$F$1000,F$5))</f>
        <v/>
      </c>
      <c r="G22" s="20">
        <f>IF($B22="","",SUMIFS(Transactions!$E$6:$E$1000,Transactions!$C$6:$C$1000,$B22,Transactions!$F$6:$F$1000,G$5))</f>
        <v/>
      </c>
      <c r="H22" s="20">
        <f>IF($B22="","",SUMIFS(Transactions!$E$6:$E$1000,Transactions!$C$6:$C$1000,$B22,Transactions!$F$6:$F$1000,H$5))</f>
        <v/>
      </c>
      <c r="I22" s="20">
        <f>IF($B22="","",SUMIFS(Transactions!$E$6:$E$1000,Transactions!$C$6:$C$1000,$B22,Transactions!$F$6:$F$1000,I$5))</f>
        <v/>
      </c>
      <c r="J22" s="20">
        <f>IF($B22="","",SUMIFS(Transactions!$E$6:$E$1000,Transactions!$C$6:$C$1000,$B22,Transactions!$F$6:$F$1000,J$5))</f>
        <v/>
      </c>
      <c r="K22" s="20">
        <f>IF($B22="","",SUMIFS(Transactions!$E$6:$E$1000,Transactions!$C$6:$C$1000,$B22,Transactions!$F$6:$F$1000,K$5))</f>
        <v/>
      </c>
      <c r="L22" s="20">
        <f>IF($B22="","",SUMIFS(Transactions!$E$6:$E$1000,Transactions!$C$6:$C$1000,$B22,Transactions!$F$6:$F$1000,L$5))</f>
        <v/>
      </c>
      <c r="M22" s="20">
        <f>IF($B22="","",SUMIFS(Transactions!$E$6:$E$1000,Transactions!$C$6:$C$1000,$B22,Transactions!$F$6:$F$1000,M$5))</f>
        <v/>
      </c>
      <c r="N22" s="20">
        <f>IF($B22="","",SUMIFS(Transactions!$E$6:$E$1000,Transactions!$C$6:$C$1000,$B22,Transactions!$F$6:$F$1000,N$5))</f>
        <v/>
      </c>
      <c r="O22" s="21">
        <f>IF(B22="","",SUM(C22:N22))</f>
        <v/>
      </c>
    </row>
    <row r="23">
      <c r="B23">
        <f>IF(Setup!B33="","",Setup!B33)</f>
        <v/>
      </c>
      <c r="C23" s="20">
        <f>IF($B23="","",SUMIFS(Transactions!$E$6:$E$1000,Transactions!$C$6:$C$1000,$B23,Transactions!$F$6:$F$1000,C$5))</f>
        <v/>
      </c>
      <c r="D23" s="20">
        <f>IF($B23="","",SUMIFS(Transactions!$E$6:$E$1000,Transactions!$C$6:$C$1000,$B23,Transactions!$F$6:$F$1000,D$5))</f>
        <v/>
      </c>
      <c r="E23" s="20">
        <f>IF($B23="","",SUMIFS(Transactions!$E$6:$E$1000,Transactions!$C$6:$C$1000,$B23,Transactions!$F$6:$F$1000,E$5))</f>
        <v/>
      </c>
      <c r="F23" s="20">
        <f>IF($B23="","",SUMIFS(Transactions!$E$6:$E$1000,Transactions!$C$6:$C$1000,$B23,Transactions!$F$6:$F$1000,F$5))</f>
        <v/>
      </c>
      <c r="G23" s="20">
        <f>IF($B23="","",SUMIFS(Transactions!$E$6:$E$1000,Transactions!$C$6:$C$1000,$B23,Transactions!$F$6:$F$1000,G$5))</f>
        <v/>
      </c>
      <c r="H23" s="20">
        <f>IF($B23="","",SUMIFS(Transactions!$E$6:$E$1000,Transactions!$C$6:$C$1000,$B23,Transactions!$F$6:$F$1000,H$5))</f>
        <v/>
      </c>
      <c r="I23" s="20">
        <f>IF($B23="","",SUMIFS(Transactions!$E$6:$E$1000,Transactions!$C$6:$C$1000,$B23,Transactions!$F$6:$F$1000,I$5))</f>
        <v/>
      </c>
      <c r="J23" s="20">
        <f>IF($B23="","",SUMIFS(Transactions!$E$6:$E$1000,Transactions!$C$6:$C$1000,$B23,Transactions!$F$6:$F$1000,J$5))</f>
        <v/>
      </c>
      <c r="K23" s="20">
        <f>IF($B23="","",SUMIFS(Transactions!$E$6:$E$1000,Transactions!$C$6:$C$1000,$B23,Transactions!$F$6:$F$1000,K$5))</f>
        <v/>
      </c>
      <c r="L23" s="20">
        <f>IF($B23="","",SUMIFS(Transactions!$E$6:$E$1000,Transactions!$C$6:$C$1000,$B23,Transactions!$F$6:$F$1000,L$5))</f>
        <v/>
      </c>
      <c r="M23" s="20">
        <f>IF($B23="","",SUMIFS(Transactions!$E$6:$E$1000,Transactions!$C$6:$C$1000,$B23,Transactions!$F$6:$F$1000,M$5))</f>
        <v/>
      </c>
      <c r="N23" s="20">
        <f>IF($B23="","",SUMIFS(Transactions!$E$6:$E$1000,Transactions!$C$6:$C$1000,$B23,Transactions!$F$6:$F$1000,N$5))</f>
        <v/>
      </c>
      <c r="O23" s="21">
        <f>IF(B23="","",SUM(C23:N23))</f>
        <v/>
      </c>
    </row>
    <row r="24">
      <c r="B24">
        <f>IF(Setup!B34="","",Setup!B34)</f>
        <v/>
      </c>
      <c r="C24" s="20">
        <f>IF($B24="","",SUMIFS(Transactions!$E$6:$E$1000,Transactions!$C$6:$C$1000,$B24,Transactions!$F$6:$F$1000,C$5))</f>
        <v/>
      </c>
      <c r="D24" s="20">
        <f>IF($B24="","",SUMIFS(Transactions!$E$6:$E$1000,Transactions!$C$6:$C$1000,$B24,Transactions!$F$6:$F$1000,D$5))</f>
        <v/>
      </c>
      <c r="E24" s="20">
        <f>IF($B24="","",SUMIFS(Transactions!$E$6:$E$1000,Transactions!$C$6:$C$1000,$B24,Transactions!$F$6:$F$1000,E$5))</f>
        <v/>
      </c>
      <c r="F24" s="20">
        <f>IF($B24="","",SUMIFS(Transactions!$E$6:$E$1000,Transactions!$C$6:$C$1000,$B24,Transactions!$F$6:$F$1000,F$5))</f>
        <v/>
      </c>
      <c r="G24" s="20">
        <f>IF($B24="","",SUMIFS(Transactions!$E$6:$E$1000,Transactions!$C$6:$C$1000,$B24,Transactions!$F$6:$F$1000,G$5))</f>
        <v/>
      </c>
      <c r="H24" s="20">
        <f>IF($B24="","",SUMIFS(Transactions!$E$6:$E$1000,Transactions!$C$6:$C$1000,$B24,Transactions!$F$6:$F$1000,H$5))</f>
        <v/>
      </c>
      <c r="I24" s="20">
        <f>IF($B24="","",SUMIFS(Transactions!$E$6:$E$1000,Transactions!$C$6:$C$1000,$B24,Transactions!$F$6:$F$1000,I$5))</f>
        <v/>
      </c>
      <c r="J24" s="20">
        <f>IF($B24="","",SUMIFS(Transactions!$E$6:$E$1000,Transactions!$C$6:$C$1000,$B24,Transactions!$F$6:$F$1000,J$5))</f>
        <v/>
      </c>
      <c r="K24" s="20">
        <f>IF($B24="","",SUMIFS(Transactions!$E$6:$E$1000,Transactions!$C$6:$C$1000,$B24,Transactions!$F$6:$F$1000,K$5))</f>
        <v/>
      </c>
      <c r="L24" s="20">
        <f>IF($B24="","",SUMIFS(Transactions!$E$6:$E$1000,Transactions!$C$6:$C$1000,$B24,Transactions!$F$6:$F$1000,L$5))</f>
        <v/>
      </c>
      <c r="M24" s="20">
        <f>IF($B24="","",SUMIFS(Transactions!$E$6:$E$1000,Transactions!$C$6:$C$1000,$B24,Transactions!$F$6:$F$1000,M$5))</f>
        <v/>
      </c>
      <c r="N24" s="20">
        <f>IF($B24="","",SUMIFS(Transactions!$E$6:$E$1000,Transactions!$C$6:$C$1000,$B24,Transactions!$F$6:$F$1000,N$5))</f>
        <v/>
      </c>
      <c r="O24" s="21">
        <f>IF(B24="","",SUM(C24:N24))</f>
        <v/>
      </c>
    </row>
    <row r="25">
      <c r="B25">
        <f>IF(Setup!B35="","",Setup!B35)</f>
        <v/>
      </c>
      <c r="C25" s="20">
        <f>IF($B25="","",SUMIFS(Transactions!$E$6:$E$1000,Transactions!$C$6:$C$1000,$B25,Transactions!$F$6:$F$1000,C$5))</f>
        <v/>
      </c>
      <c r="D25" s="20">
        <f>IF($B25="","",SUMIFS(Transactions!$E$6:$E$1000,Transactions!$C$6:$C$1000,$B25,Transactions!$F$6:$F$1000,D$5))</f>
        <v/>
      </c>
      <c r="E25" s="20">
        <f>IF($B25="","",SUMIFS(Transactions!$E$6:$E$1000,Transactions!$C$6:$C$1000,$B25,Transactions!$F$6:$F$1000,E$5))</f>
        <v/>
      </c>
      <c r="F25" s="20">
        <f>IF($B25="","",SUMIFS(Transactions!$E$6:$E$1000,Transactions!$C$6:$C$1000,$B25,Transactions!$F$6:$F$1000,F$5))</f>
        <v/>
      </c>
      <c r="G25" s="20">
        <f>IF($B25="","",SUMIFS(Transactions!$E$6:$E$1000,Transactions!$C$6:$C$1000,$B25,Transactions!$F$6:$F$1000,G$5))</f>
        <v/>
      </c>
      <c r="H25" s="20">
        <f>IF($B25="","",SUMIFS(Transactions!$E$6:$E$1000,Transactions!$C$6:$C$1000,$B25,Transactions!$F$6:$F$1000,H$5))</f>
        <v/>
      </c>
      <c r="I25" s="20">
        <f>IF($B25="","",SUMIFS(Transactions!$E$6:$E$1000,Transactions!$C$6:$C$1000,$B25,Transactions!$F$6:$F$1000,I$5))</f>
        <v/>
      </c>
      <c r="J25" s="20">
        <f>IF($B25="","",SUMIFS(Transactions!$E$6:$E$1000,Transactions!$C$6:$C$1000,$B25,Transactions!$F$6:$F$1000,J$5))</f>
        <v/>
      </c>
      <c r="K25" s="20">
        <f>IF($B25="","",SUMIFS(Transactions!$E$6:$E$1000,Transactions!$C$6:$C$1000,$B25,Transactions!$F$6:$F$1000,K$5))</f>
        <v/>
      </c>
      <c r="L25" s="20">
        <f>IF($B25="","",SUMIFS(Transactions!$E$6:$E$1000,Transactions!$C$6:$C$1000,$B25,Transactions!$F$6:$F$1000,L$5))</f>
        <v/>
      </c>
      <c r="M25" s="20">
        <f>IF($B25="","",SUMIFS(Transactions!$E$6:$E$1000,Transactions!$C$6:$C$1000,$B25,Transactions!$F$6:$F$1000,M$5))</f>
        <v/>
      </c>
      <c r="N25" s="20">
        <f>IF($B25="","",SUMIFS(Transactions!$E$6:$E$1000,Transactions!$C$6:$C$1000,$B25,Transactions!$F$6:$F$1000,N$5))</f>
        <v/>
      </c>
      <c r="O25" s="21">
        <f>IF(B25="","",SUM(C25:N25))</f>
        <v/>
      </c>
    </row>
    <row r="26">
      <c r="B26">
        <f>IF(Setup!B36="","",Setup!B36)</f>
        <v/>
      </c>
      <c r="C26" s="20">
        <f>IF($B26="","",SUMIFS(Transactions!$E$6:$E$1000,Transactions!$C$6:$C$1000,$B26,Transactions!$F$6:$F$1000,C$5))</f>
        <v/>
      </c>
      <c r="D26" s="20">
        <f>IF($B26="","",SUMIFS(Transactions!$E$6:$E$1000,Transactions!$C$6:$C$1000,$B26,Transactions!$F$6:$F$1000,D$5))</f>
        <v/>
      </c>
      <c r="E26" s="20">
        <f>IF($B26="","",SUMIFS(Transactions!$E$6:$E$1000,Transactions!$C$6:$C$1000,$B26,Transactions!$F$6:$F$1000,E$5))</f>
        <v/>
      </c>
      <c r="F26" s="20">
        <f>IF($B26="","",SUMIFS(Transactions!$E$6:$E$1000,Transactions!$C$6:$C$1000,$B26,Transactions!$F$6:$F$1000,F$5))</f>
        <v/>
      </c>
      <c r="G26" s="20">
        <f>IF($B26="","",SUMIFS(Transactions!$E$6:$E$1000,Transactions!$C$6:$C$1000,$B26,Transactions!$F$6:$F$1000,G$5))</f>
        <v/>
      </c>
      <c r="H26" s="20">
        <f>IF($B26="","",SUMIFS(Transactions!$E$6:$E$1000,Transactions!$C$6:$C$1000,$B26,Transactions!$F$6:$F$1000,H$5))</f>
        <v/>
      </c>
      <c r="I26" s="20">
        <f>IF($B26="","",SUMIFS(Transactions!$E$6:$E$1000,Transactions!$C$6:$C$1000,$B26,Transactions!$F$6:$F$1000,I$5))</f>
        <v/>
      </c>
      <c r="J26" s="20">
        <f>IF($B26="","",SUMIFS(Transactions!$E$6:$E$1000,Transactions!$C$6:$C$1000,$B26,Transactions!$F$6:$F$1000,J$5))</f>
        <v/>
      </c>
      <c r="K26" s="20">
        <f>IF($B26="","",SUMIFS(Transactions!$E$6:$E$1000,Transactions!$C$6:$C$1000,$B26,Transactions!$F$6:$F$1000,K$5))</f>
        <v/>
      </c>
      <c r="L26" s="20">
        <f>IF($B26="","",SUMIFS(Transactions!$E$6:$E$1000,Transactions!$C$6:$C$1000,$B26,Transactions!$F$6:$F$1000,L$5))</f>
        <v/>
      </c>
      <c r="M26" s="20">
        <f>IF($B26="","",SUMIFS(Transactions!$E$6:$E$1000,Transactions!$C$6:$C$1000,$B26,Transactions!$F$6:$F$1000,M$5))</f>
        <v/>
      </c>
      <c r="N26" s="20">
        <f>IF($B26="","",SUMIFS(Transactions!$E$6:$E$1000,Transactions!$C$6:$C$1000,$B26,Transactions!$F$6:$F$1000,N$5))</f>
        <v/>
      </c>
      <c r="O26" s="21">
        <f>IF(B26="","",SUM(C26:N26))</f>
        <v/>
      </c>
    </row>
    <row r="27">
      <c r="B27">
        <f>IF(Setup!B37="","",Setup!B37)</f>
        <v/>
      </c>
      <c r="C27" s="20">
        <f>IF($B27="","",SUMIFS(Transactions!$E$6:$E$1000,Transactions!$C$6:$C$1000,$B27,Transactions!$F$6:$F$1000,C$5))</f>
        <v/>
      </c>
      <c r="D27" s="20">
        <f>IF($B27="","",SUMIFS(Transactions!$E$6:$E$1000,Transactions!$C$6:$C$1000,$B27,Transactions!$F$6:$F$1000,D$5))</f>
        <v/>
      </c>
      <c r="E27" s="20">
        <f>IF($B27="","",SUMIFS(Transactions!$E$6:$E$1000,Transactions!$C$6:$C$1000,$B27,Transactions!$F$6:$F$1000,E$5))</f>
        <v/>
      </c>
      <c r="F27" s="20">
        <f>IF($B27="","",SUMIFS(Transactions!$E$6:$E$1000,Transactions!$C$6:$C$1000,$B27,Transactions!$F$6:$F$1000,F$5))</f>
        <v/>
      </c>
      <c r="G27" s="20">
        <f>IF($B27="","",SUMIFS(Transactions!$E$6:$E$1000,Transactions!$C$6:$C$1000,$B27,Transactions!$F$6:$F$1000,G$5))</f>
        <v/>
      </c>
      <c r="H27" s="20">
        <f>IF($B27="","",SUMIFS(Transactions!$E$6:$E$1000,Transactions!$C$6:$C$1000,$B27,Transactions!$F$6:$F$1000,H$5))</f>
        <v/>
      </c>
      <c r="I27" s="20">
        <f>IF($B27="","",SUMIFS(Transactions!$E$6:$E$1000,Transactions!$C$6:$C$1000,$B27,Transactions!$F$6:$F$1000,I$5))</f>
        <v/>
      </c>
      <c r="J27" s="20">
        <f>IF($B27="","",SUMIFS(Transactions!$E$6:$E$1000,Transactions!$C$6:$C$1000,$B27,Transactions!$F$6:$F$1000,J$5))</f>
        <v/>
      </c>
      <c r="K27" s="20">
        <f>IF($B27="","",SUMIFS(Transactions!$E$6:$E$1000,Transactions!$C$6:$C$1000,$B27,Transactions!$F$6:$F$1000,K$5))</f>
        <v/>
      </c>
      <c r="L27" s="20">
        <f>IF($B27="","",SUMIFS(Transactions!$E$6:$E$1000,Transactions!$C$6:$C$1000,$B27,Transactions!$F$6:$F$1000,L$5))</f>
        <v/>
      </c>
      <c r="M27" s="20">
        <f>IF($B27="","",SUMIFS(Transactions!$E$6:$E$1000,Transactions!$C$6:$C$1000,$B27,Transactions!$F$6:$F$1000,M$5))</f>
        <v/>
      </c>
      <c r="N27" s="20">
        <f>IF($B27="","",SUMIFS(Transactions!$E$6:$E$1000,Transactions!$C$6:$C$1000,$B27,Transactions!$F$6:$F$1000,N$5))</f>
        <v/>
      </c>
      <c r="O27" s="21">
        <f>IF(B27="","",SUM(C27:N27))</f>
        <v/>
      </c>
    </row>
    <row r="28">
      <c r="B28">
        <f>IF(Setup!B38="","",Setup!B38)</f>
        <v/>
      </c>
      <c r="C28" s="20">
        <f>IF($B28="","",SUMIFS(Transactions!$E$6:$E$1000,Transactions!$C$6:$C$1000,$B28,Transactions!$F$6:$F$1000,C$5))</f>
        <v/>
      </c>
      <c r="D28" s="20">
        <f>IF($B28="","",SUMIFS(Transactions!$E$6:$E$1000,Transactions!$C$6:$C$1000,$B28,Transactions!$F$6:$F$1000,D$5))</f>
        <v/>
      </c>
      <c r="E28" s="20">
        <f>IF($B28="","",SUMIFS(Transactions!$E$6:$E$1000,Transactions!$C$6:$C$1000,$B28,Transactions!$F$6:$F$1000,E$5))</f>
        <v/>
      </c>
      <c r="F28" s="20">
        <f>IF($B28="","",SUMIFS(Transactions!$E$6:$E$1000,Transactions!$C$6:$C$1000,$B28,Transactions!$F$6:$F$1000,F$5))</f>
        <v/>
      </c>
      <c r="G28" s="20">
        <f>IF($B28="","",SUMIFS(Transactions!$E$6:$E$1000,Transactions!$C$6:$C$1000,$B28,Transactions!$F$6:$F$1000,G$5))</f>
        <v/>
      </c>
      <c r="H28" s="20">
        <f>IF($B28="","",SUMIFS(Transactions!$E$6:$E$1000,Transactions!$C$6:$C$1000,$B28,Transactions!$F$6:$F$1000,H$5))</f>
        <v/>
      </c>
      <c r="I28" s="20">
        <f>IF($B28="","",SUMIFS(Transactions!$E$6:$E$1000,Transactions!$C$6:$C$1000,$B28,Transactions!$F$6:$F$1000,I$5))</f>
        <v/>
      </c>
      <c r="J28" s="20">
        <f>IF($B28="","",SUMIFS(Transactions!$E$6:$E$1000,Transactions!$C$6:$C$1000,$B28,Transactions!$F$6:$F$1000,J$5))</f>
        <v/>
      </c>
      <c r="K28" s="20">
        <f>IF($B28="","",SUMIFS(Transactions!$E$6:$E$1000,Transactions!$C$6:$C$1000,$B28,Transactions!$F$6:$F$1000,K$5))</f>
        <v/>
      </c>
      <c r="L28" s="20">
        <f>IF($B28="","",SUMIFS(Transactions!$E$6:$E$1000,Transactions!$C$6:$C$1000,$B28,Transactions!$F$6:$F$1000,L$5))</f>
        <v/>
      </c>
      <c r="M28" s="20">
        <f>IF($B28="","",SUMIFS(Transactions!$E$6:$E$1000,Transactions!$C$6:$C$1000,$B28,Transactions!$F$6:$F$1000,M$5))</f>
        <v/>
      </c>
      <c r="N28" s="20">
        <f>IF($B28="","",SUMIFS(Transactions!$E$6:$E$1000,Transactions!$C$6:$C$1000,$B28,Transactions!$F$6:$F$1000,N$5))</f>
        <v/>
      </c>
      <c r="O28" s="21">
        <f>IF(B28="","",SUM(C28:N28))</f>
        <v/>
      </c>
    </row>
    <row r="29">
      <c r="B29">
        <f>IF(Setup!B39="","",Setup!B39)</f>
        <v/>
      </c>
      <c r="C29" s="20">
        <f>IF($B29="","",SUMIFS(Transactions!$E$6:$E$1000,Transactions!$C$6:$C$1000,$B29,Transactions!$F$6:$F$1000,C$5))</f>
        <v/>
      </c>
      <c r="D29" s="20">
        <f>IF($B29="","",SUMIFS(Transactions!$E$6:$E$1000,Transactions!$C$6:$C$1000,$B29,Transactions!$F$6:$F$1000,D$5))</f>
        <v/>
      </c>
      <c r="E29" s="20">
        <f>IF($B29="","",SUMIFS(Transactions!$E$6:$E$1000,Transactions!$C$6:$C$1000,$B29,Transactions!$F$6:$F$1000,E$5))</f>
        <v/>
      </c>
      <c r="F29" s="20">
        <f>IF($B29="","",SUMIFS(Transactions!$E$6:$E$1000,Transactions!$C$6:$C$1000,$B29,Transactions!$F$6:$F$1000,F$5))</f>
        <v/>
      </c>
      <c r="G29" s="20">
        <f>IF($B29="","",SUMIFS(Transactions!$E$6:$E$1000,Transactions!$C$6:$C$1000,$B29,Transactions!$F$6:$F$1000,G$5))</f>
        <v/>
      </c>
      <c r="H29" s="20">
        <f>IF($B29="","",SUMIFS(Transactions!$E$6:$E$1000,Transactions!$C$6:$C$1000,$B29,Transactions!$F$6:$F$1000,H$5))</f>
        <v/>
      </c>
      <c r="I29" s="20">
        <f>IF($B29="","",SUMIFS(Transactions!$E$6:$E$1000,Transactions!$C$6:$C$1000,$B29,Transactions!$F$6:$F$1000,I$5))</f>
        <v/>
      </c>
      <c r="J29" s="20">
        <f>IF($B29="","",SUMIFS(Transactions!$E$6:$E$1000,Transactions!$C$6:$C$1000,$B29,Transactions!$F$6:$F$1000,J$5))</f>
        <v/>
      </c>
      <c r="K29" s="20">
        <f>IF($B29="","",SUMIFS(Transactions!$E$6:$E$1000,Transactions!$C$6:$C$1000,$B29,Transactions!$F$6:$F$1000,K$5))</f>
        <v/>
      </c>
      <c r="L29" s="20">
        <f>IF($B29="","",SUMIFS(Transactions!$E$6:$E$1000,Transactions!$C$6:$C$1000,$B29,Transactions!$F$6:$F$1000,L$5))</f>
        <v/>
      </c>
      <c r="M29" s="20">
        <f>IF($B29="","",SUMIFS(Transactions!$E$6:$E$1000,Transactions!$C$6:$C$1000,$B29,Transactions!$F$6:$F$1000,M$5))</f>
        <v/>
      </c>
      <c r="N29" s="20">
        <f>IF($B29="","",SUMIFS(Transactions!$E$6:$E$1000,Transactions!$C$6:$C$1000,$B29,Transactions!$F$6:$F$1000,N$5))</f>
        <v/>
      </c>
      <c r="O29" s="21">
        <f>IF(B29="","",SUM(C29:N29))</f>
        <v/>
      </c>
    </row>
    <row r="30">
      <c r="B30">
        <f>IF(Setup!B40="","",Setup!B40)</f>
        <v/>
      </c>
      <c r="C30" s="20">
        <f>IF($B30="","",SUMIFS(Transactions!$E$6:$E$1000,Transactions!$C$6:$C$1000,$B30,Transactions!$F$6:$F$1000,C$5))</f>
        <v/>
      </c>
      <c r="D30" s="20">
        <f>IF($B30="","",SUMIFS(Transactions!$E$6:$E$1000,Transactions!$C$6:$C$1000,$B30,Transactions!$F$6:$F$1000,D$5))</f>
        <v/>
      </c>
      <c r="E30" s="20">
        <f>IF($B30="","",SUMIFS(Transactions!$E$6:$E$1000,Transactions!$C$6:$C$1000,$B30,Transactions!$F$6:$F$1000,E$5))</f>
        <v/>
      </c>
      <c r="F30" s="20">
        <f>IF($B30="","",SUMIFS(Transactions!$E$6:$E$1000,Transactions!$C$6:$C$1000,$B30,Transactions!$F$6:$F$1000,F$5))</f>
        <v/>
      </c>
      <c r="G30" s="20">
        <f>IF($B30="","",SUMIFS(Transactions!$E$6:$E$1000,Transactions!$C$6:$C$1000,$B30,Transactions!$F$6:$F$1000,G$5))</f>
        <v/>
      </c>
      <c r="H30" s="20">
        <f>IF($B30="","",SUMIFS(Transactions!$E$6:$E$1000,Transactions!$C$6:$C$1000,$B30,Transactions!$F$6:$F$1000,H$5))</f>
        <v/>
      </c>
      <c r="I30" s="20">
        <f>IF($B30="","",SUMIFS(Transactions!$E$6:$E$1000,Transactions!$C$6:$C$1000,$B30,Transactions!$F$6:$F$1000,I$5))</f>
        <v/>
      </c>
      <c r="J30" s="20">
        <f>IF($B30="","",SUMIFS(Transactions!$E$6:$E$1000,Transactions!$C$6:$C$1000,$B30,Transactions!$F$6:$F$1000,J$5))</f>
        <v/>
      </c>
      <c r="K30" s="20">
        <f>IF($B30="","",SUMIFS(Transactions!$E$6:$E$1000,Transactions!$C$6:$C$1000,$B30,Transactions!$F$6:$F$1000,K$5))</f>
        <v/>
      </c>
      <c r="L30" s="20">
        <f>IF($B30="","",SUMIFS(Transactions!$E$6:$E$1000,Transactions!$C$6:$C$1000,$B30,Transactions!$F$6:$F$1000,L$5))</f>
        <v/>
      </c>
      <c r="M30" s="20">
        <f>IF($B30="","",SUMIFS(Transactions!$E$6:$E$1000,Transactions!$C$6:$C$1000,$B30,Transactions!$F$6:$F$1000,M$5))</f>
        <v/>
      </c>
      <c r="N30" s="20">
        <f>IF($B30="","",SUMIFS(Transactions!$E$6:$E$1000,Transactions!$C$6:$C$1000,$B30,Transactions!$F$6:$F$1000,N$5))</f>
        <v/>
      </c>
      <c r="O30" s="21">
        <f>IF(B30="","",SUM(C30:N30))</f>
        <v/>
      </c>
    </row>
    <row r="31">
      <c r="B31">
        <f>IF(Setup!B41="","",Setup!B41)</f>
        <v/>
      </c>
      <c r="C31" s="20">
        <f>IF($B31="","",SUMIFS(Transactions!$E$6:$E$1000,Transactions!$C$6:$C$1000,$B31,Transactions!$F$6:$F$1000,C$5))</f>
        <v/>
      </c>
      <c r="D31" s="20">
        <f>IF($B31="","",SUMIFS(Transactions!$E$6:$E$1000,Transactions!$C$6:$C$1000,$B31,Transactions!$F$6:$F$1000,D$5))</f>
        <v/>
      </c>
      <c r="E31" s="20">
        <f>IF($B31="","",SUMIFS(Transactions!$E$6:$E$1000,Transactions!$C$6:$C$1000,$B31,Transactions!$F$6:$F$1000,E$5))</f>
        <v/>
      </c>
      <c r="F31" s="20">
        <f>IF($B31="","",SUMIFS(Transactions!$E$6:$E$1000,Transactions!$C$6:$C$1000,$B31,Transactions!$F$6:$F$1000,F$5))</f>
        <v/>
      </c>
      <c r="G31" s="20">
        <f>IF($B31="","",SUMIFS(Transactions!$E$6:$E$1000,Transactions!$C$6:$C$1000,$B31,Transactions!$F$6:$F$1000,G$5))</f>
        <v/>
      </c>
      <c r="H31" s="20">
        <f>IF($B31="","",SUMIFS(Transactions!$E$6:$E$1000,Transactions!$C$6:$C$1000,$B31,Transactions!$F$6:$F$1000,H$5))</f>
        <v/>
      </c>
      <c r="I31" s="20">
        <f>IF($B31="","",SUMIFS(Transactions!$E$6:$E$1000,Transactions!$C$6:$C$1000,$B31,Transactions!$F$6:$F$1000,I$5))</f>
        <v/>
      </c>
      <c r="J31" s="20">
        <f>IF($B31="","",SUMIFS(Transactions!$E$6:$E$1000,Transactions!$C$6:$C$1000,$B31,Transactions!$F$6:$F$1000,J$5))</f>
        <v/>
      </c>
      <c r="K31" s="20">
        <f>IF($B31="","",SUMIFS(Transactions!$E$6:$E$1000,Transactions!$C$6:$C$1000,$B31,Transactions!$F$6:$F$1000,K$5))</f>
        <v/>
      </c>
      <c r="L31" s="20">
        <f>IF($B31="","",SUMIFS(Transactions!$E$6:$E$1000,Transactions!$C$6:$C$1000,$B31,Transactions!$F$6:$F$1000,L$5))</f>
        <v/>
      </c>
      <c r="M31" s="20">
        <f>IF($B31="","",SUMIFS(Transactions!$E$6:$E$1000,Transactions!$C$6:$C$1000,$B31,Transactions!$F$6:$F$1000,M$5))</f>
        <v/>
      </c>
      <c r="N31" s="20">
        <f>IF($B31="","",SUMIFS(Transactions!$E$6:$E$1000,Transactions!$C$6:$C$1000,$B31,Transactions!$F$6:$F$1000,N$5))</f>
        <v/>
      </c>
      <c r="O31" s="21">
        <f>IF(B31="","",SUM(C31:N31))</f>
        <v/>
      </c>
    </row>
    <row r="32">
      <c r="B32">
        <f>IF(Setup!B42="","",Setup!B42)</f>
        <v/>
      </c>
      <c r="C32" s="20">
        <f>IF($B32="","",SUMIFS(Transactions!$E$6:$E$1000,Transactions!$C$6:$C$1000,$B32,Transactions!$F$6:$F$1000,C$5))</f>
        <v/>
      </c>
      <c r="D32" s="20">
        <f>IF($B32="","",SUMIFS(Transactions!$E$6:$E$1000,Transactions!$C$6:$C$1000,$B32,Transactions!$F$6:$F$1000,D$5))</f>
        <v/>
      </c>
      <c r="E32" s="20">
        <f>IF($B32="","",SUMIFS(Transactions!$E$6:$E$1000,Transactions!$C$6:$C$1000,$B32,Transactions!$F$6:$F$1000,E$5))</f>
        <v/>
      </c>
      <c r="F32" s="20">
        <f>IF($B32="","",SUMIFS(Transactions!$E$6:$E$1000,Transactions!$C$6:$C$1000,$B32,Transactions!$F$6:$F$1000,F$5))</f>
        <v/>
      </c>
      <c r="G32" s="20">
        <f>IF($B32="","",SUMIFS(Transactions!$E$6:$E$1000,Transactions!$C$6:$C$1000,$B32,Transactions!$F$6:$F$1000,G$5))</f>
        <v/>
      </c>
      <c r="H32" s="20">
        <f>IF($B32="","",SUMIFS(Transactions!$E$6:$E$1000,Transactions!$C$6:$C$1000,$B32,Transactions!$F$6:$F$1000,H$5))</f>
        <v/>
      </c>
      <c r="I32" s="20">
        <f>IF($B32="","",SUMIFS(Transactions!$E$6:$E$1000,Transactions!$C$6:$C$1000,$B32,Transactions!$F$6:$F$1000,I$5))</f>
        <v/>
      </c>
      <c r="J32" s="20">
        <f>IF($B32="","",SUMIFS(Transactions!$E$6:$E$1000,Transactions!$C$6:$C$1000,$B32,Transactions!$F$6:$F$1000,J$5))</f>
        <v/>
      </c>
      <c r="K32" s="20">
        <f>IF($B32="","",SUMIFS(Transactions!$E$6:$E$1000,Transactions!$C$6:$C$1000,$B32,Transactions!$F$6:$F$1000,K$5))</f>
        <v/>
      </c>
      <c r="L32" s="20">
        <f>IF($B32="","",SUMIFS(Transactions!$E$6:$E$1000,Transactions!$C$6:$C$1000,$B32,Transactions!$F$6:$F$1000,L$5))</f>
        <v/>
      </c>
      <c r="M32" s="20">
        <f>IF($B32="","",SUMIFS(Transactions!$E$6:$E$1000,Transactions!$C$6:$C$1000,$B32,Transactions!$F$6:$F$1000,M$5))</f>
        <v/>
      </c>
      <c r="N32" s="20">
        <f>IF($B32="","",SUMIFS(Transactions!$E$6:$E$1000,Transactions!$C$6:$C$1000,$B32,Transactions!$F$6:$F$1000,N$5))</f>
        <v/>
      </c>
      <c r="O32" s="21">
        <f>IF(B32="","",SUM(C32:N32))</f>
        <v/>
      </c>
    </row>
    <row r="33">
      <c r="B33">
        <f>IF(Setup!B43="","",Setup!B43)</f>
        <v/>
      </c>
      <c r="C33" s="20">
        <f>IF($B33="","",SUMIFS(Transactions!$E$6:$E$1000,Transactions!$C$6:$C$1000,$B33,Transactions!$F$6:$F$1000,C$5))</f>
        <v/>
      </c>
      <c r="D33" s="20">
        <f>IF($B33="","",SUMIFS(Transactions!$E$6:$E$1000,Transactions!$C$6:$C$1000,$B33,Transactions!$F$6:$F$1000,D$5))</f>
        <v/>
      </c>
      <c r="E33" s="20">
        <f>IF($B33="","",SUMIFS(Transactions!$E$6:$E$1000,Transactions!$C$6:$C$1000,$B33,Transactions!$F$6:$F$1000,E$5))</f>
        <v/>
      </c>
      <c r="F33" s="20">
        <f>IF($B33="","",SUMIFS(Transactions!$E$6:$E$1000,Transactions!$C$6:$C$1000,$B33,Transactions!$F$6:$F$1000,F$5))</f>
        <v/>
      </c>
      <c r="G33" s="20">
        <f>IF($B33="","",SUMIFS(Transactions!$E$6:$E$1000,Transactions!$C$6:$C$1000,$B33,Transactions!$F$6:$F$1000,G$5))</f>
        <v/>
      </c>
      <c r="H33" s="20">
        <f>IF($B33="","",SUMIFS(Transactions!$E$6:$E$1000,Transactions!$C$6:$C$1000,$B33,Transactions!$F$6:$F$1000,H$5))</f>
        <v/>
      </c>
      <c r="I33" s="20">
        <f>IF($B33="","",SUMIFS(Transactions!$E$6:$E$1000,Transactions!$C$6:$C$1000,$B33,Transactions!$F$6:$F$1000,I$5))</f>
        <v/>
      </c>
      <c r="J33" s="20">
        <f>IF($B33="","",SUMIFS(Transactions!$E$6:$E$1000,Transactions!$C$6:$C$1000,$B33,Transactions!$F$6:$F$1000,J$5))</f>
        <v/>
      </c>
      <c r="K33" s="20">
        <f>IF($B33="","",SUMIFS(Transactions!$E$6:$E$1000,Transactions!$C$6:$C$1000,$B33,Transactions!$F$6:$F$1000,K$5))</f>
        <v/>
      </c>
      <c r="L33" s="20">
        <f>IF($B33="","",SUMIFS(Transactions!$E$6:$E$1000,Transactions!$C$6:$C$1000,$B33,Transactions!$F$6:$F$1000,L$5))</f>
        <v/>
      </c>
      <c r="M33" s="20">
        <f>IF($B33="","",SUMIFS(Transactions!$E$6:$E$1000,Transactions!$C$6:$C$1000,$B33,Transactions!$F$6:$F$1000,M$5))</f>
        <v/>
      </c>
      <c r="N33" s="20">
        <f>IF($B33="","",SUMIFS(Transactions!$E$6:$E$1000,Transactions!$C$6:$C$1000,$B33,Transactions!$F$6:$F$1000,N$5))</f>
        <v/>
      </c>
      <c r="O33" s="21">
        <f>IF(B33="","",SUM(C33:N33))</f>
        <v/>
      </c>
    </row>
    <row r="34">
      <c r="B34">
        <f>IF(Setup!B44="","",Setup!B44)</f>
        <v/>
      </c>
      <c r="C34" s="20">
        <f>IF($B34="","",SUMIFS(Transactions!$E$6:$E$1000,Transactions!$C$6:$C$1000,$B34,Transactions!$F$6:$F$1000,C$5))</f>
        <v/>
      </c>
      <c r="D34" s="20">
        <f>IF($B34="","",SUMIFS(Transactions!$E$6:$E$1000,Transactions!$C$6:$C$1000,$B34,Transactions!$F$6:$F$1000,D$5))</f>
        <v/>
      </c>
      <c r="E34" s="20">
        <f>IF($B34="","",SUMIFS(Transactions!$E$6:$E$1000,Transactions!$C$6:$C$1000,$B34,Transactions!$F$6:$F$1000,E$5))</f>
        <v/>
      </c>
      <c r="F34" s="20">
        <f>IF($B34="","",SUMIFS(Transactions!$E$6:$E$1000,Transactions!$C$6:$C$1000,$B34,Transactions!$F$6:$F$1000,F$5))</f>
        <v/>
      </c>
      <c r="G34" s="20">
        <f>IF($B34="","",SUMIFS(Transactions!$E$6:$E$1000,Transactions!$C$6:$C$1000,$B34,Transactions!$F$6:$F$1000,G$5))</f>
        <v/>
      </c>
      <c r="H34" s="20">
        <f>IF($B34="","",SUMIFS(Transactions!$E$6:$E$1000,Transactions!$C$6:$C$1000,$B34,Transactions!$F$6:$F$1000,H$5))</f>
        <v/>
      </c>
      <c r="I34" s="20">
        <f>IF($B34="","",SUMIFS(Transactions!$E$6:$E$1000,Transactions!$C$6:$C$1000,$B34,Transactions!$F$6:$F$1000,I$5))</f>
        <v/>
      </c>
      <c r="J34" s="20">
        <f>IF($B34="","",SUMIFS(Transactions!$E$6:$E$1000,Transactions!$C$6:$C$1000,$B34,Transactions!$F$6:$F$1000,J$5))</f>
        <v/>
      </c>
      <c r="K34" s="20">
        <f>IF($B34="","",SUMIFS(Transactions!$E$6:$E$1000,Transactions!$C$6:$C$1000,$B34,Transactions!$F$6:$F$1000,K$5))</f>
        <v/>
      </c>
      <c r="L34" s="20">
        <f>IF($B34="","",SUMIFS(Transactions!$E$6:$E$1000,Transactions!$C$6:$C$1000,$B34,Transactions!$F$6:$F$1000,L$5))</f>
        <v/>
      </c>
      <c r="M34" s="20">
        <f>IF($B34="","",SUMIFS(Transactions!$E$6:$E$1000,Transactions!$C$6:$C$1000,$B34,Transactions!$F$6:$F$1000,M$5))</f>
        <v/>
      </c>
      <c r="N34" s="20">
        <f>IF($B34="","",SUMIFS(Transactions!$E$6:$E$1000,Transactions!$C$6:$C$1000,$B34,Transactions!$F$6:$F$1000,N$5))</f>
        <v/>
      </c>
      <c r="O34" s="21">
        <f>IF(B34="","",SUM(C34:N34))</f>
        <v/>
      </c>
    </row>
    <row r="35">
      <c r="B35">
        <f>IF(Setup!B45="","",Setup!B45)</f>
        <v/>
      </c>
      <c r="C35" s="20">
        <f>IF($B35="","",SUMIFS(Transactions!$E$6:$E$1000,Transactions!$C$6:$C$1000,$B35,Transactions!$F$6:$F$1000,C$5))</f>
        <v/>
      </c>
      <c r="D35" s="20">
        <f>IF($B35="","",SUMIFS(Transactions!$E$6:$E$1000,Transactions!$C$6:$C$1000,$B35,Transactions!$F$6:$F$1000,D$5))</f>
        <v/>
      </c>
      <c r="E35" s="20">
        <f>IF($B35="","",SUMIFS(Transactions!$E$6:$E$1000,Transactions!$C$6:$C$1000,$B35,Transactions!$F$6:$F$1000,E$5))</f>
        <v/>
      </c>
      <c r="F35" s="20">
        <f>IF($B35="","",SUMIFS(Transactions!$E$6:$E$1000,Transactions!$C$6:$C$1000,$B35,Transactions!$F$6:$F$1000,F$5))</f>
        <v/>
      </c>
      <c r="G35" s="20">
        <f>IF($B35="","",SUMIFS(Transactions!$E$6:$E$1000,Transactions!$C$6:$C$1000,$B35,Transactions!$F$6:$F$1000,G$5))</f>
        <v/>
      </c>
      <c r="H35" s="20">
        <f>IF($B35="","",SUMIFS(Transactions!$E$6:$E$1000,Transactions!$C$6:$C$1000,$B35,Transactions!$F$6:$F$1000,H$5))</f>
        <v/>
      </c>
      <c r="I35" s="20">
        <f>IF($B35="","",SUMIFS(Transactions!$E$6:$E$1000,Transactions!$C$6:$C$1000,$B35,Transactions!$F$6:$F$1000,I$5))</f>
        <v/>
      </c>
      <c r="J35" s="20">
        <f>IF($B35="","",SUMIFS(Transactions!$E$6:$E$1000,Transactions!$C$6:$C$1000,$B35,Transactions!$F$6:$F$1000,J$5))</f>
        <v/>
      </c>
      <c r="K35" s="20">
        <f>IF($B35="","",SUMIFS(Transactions!$E$6:$E$1000,Transactions!$C$6:$C$1000,$B35,Transactions!$F$6:$F$1000,K$5))</f>
        <v/>
      </c>
      <c r="L35" s="20">
        <f>IF($B35="","",SUMIFS(Transactions!$E$6:$E$1000,Transactions!$C$6:$C$1000,$B35,Transactions!$F$6:$F$1000,L$5))</f>
        <v/>
      </c>
      <c r="M35" s="20">
        <f>IF($B35="","",SUMIFS(Transactions!$E$6:$E$1000,Transactions!$C$6:$C$1000,$B35,Transactions!$F$6:$F$1000,M$5))</f>
        <v/>
      </c>
      <c r="N35" s="20">
        <f>IF($B35="","",SUMIFS(Transactions!$E$6:$E$1000,Transactions!$C$6:$C$1000,$B35,Transactions!$F$6:$F$1000,N$5))</f>
        <v/>
      </c>
      <c r="O35" s="21">
        <f>IF(B35="","",SUM(C35:N35))</f>
        <v/>
      </c>
    </row>
    <row r="36">
      <c r="B36" s="9" t="inlineStr">
        <is>
          <t>Total spent</t>
        </is>
      </c>
      <c r="C36" s="22">
        <f>SUM(C6:C35)</f>
        <v/>
      </c>
      <c r="D36" s="22">
        <f>SUM(D6:D35)</f>
        <v/>
      </c>
      <c r="E36" s="22">
        <f>SUM(E6:E35)</f>
        <v/>
      </c>
      <c r="F36" s="22">
        <f>SUM(F6:F35)</f>
        <v/>
      </c>
      <c r="G36" s="22">
        <f>SUM(G6:G35)</f>
        <v/>
      </c>
      <c r="H36" s="22">
        <f>SUM(H6:H35)</f>
        <v/>
      </c>
      <c r="I36" s="22">
        <f>SUM(I6:I35)</f>
        <v/>
      </c>
      <c r="J36" s="22">
        <f>SUM(J6:J35)</f>
        <v/>
      </c>
      <c r="K36" s="22">
        <f>SUM(K6:K35)</f>
        <v/>
      </c>
      <c r="L36" s="22">
        <f>SUM(L6:L35)</f>
        <v/>
      </c>
      <c r="M36" s="22">
        <f>SUM(M6:M35)</f>
        <v/>
      </c>
      <c r="N36" s="22">
        <f>SUM(N6:N35)</f>
        <v/>
      </c>
      <c r="O36" s="22">
        <f>SUM(O6:O35)</f>
        <v/>
      </c>
    </row>
    <row r="37">
      <c r="B37" s="9" t="inlineStr">
        <is>
          <t>Income</t>
        </is>
      </c>
      <c r="C37" s="22">
        <f>Setup!$D$12</f>
        <v/>
      </c>
      <c r="D37" s="22">
        <f>Setup!$D$12</f>
        <v/>
      </c>
      <c r="E37" s="22">
        <f>Setup!$D$12</f>
        <v/>
      </c>
      <c r="F37" s="22">
        <f>Setup!$D$12</f>
        <v/>
      </c>
      <c r="G37" s="22">
        <f>Setup!$D$12</f>
        <v/>
      </c>
      <c r="H37" s="22">
        <f>Setup!$D$12</f>
        <v/>
      </c>
      <c r="I37" s="22">
        <f>Setup!$D$12</f>
        <v/>
      </c>
      <c r="J37" s="22">
        <f>Setup!$D$12</f>
        <v/>
      </c>
      <c r="K37" s="22">
        <f>Setup!$D$12</f>
        <v/>
      </c>
      <c r="L37" s="22">
        <f>Setup!$D$12</f>
        <v/>
      </c>
      <c r="M37" s="22">
        <f>Setup!$D$12</f>
        <v/>
      </c>
      <c r="N37" s="22">
        <f>Setup!$D$12</f>
        <v/>
      </c>
      <c r="O37" s="22">
        <f>Setup!$D$12*12</f>
        <v/>
      </c>
    </row>
    <row r="38">
      <c r="B38" s="9" t="inlineStr">
        <is>
          <t>Left over</t>
        </is>
      </c>
      <c r="C38" s="23">
        <f>C37-C36</f>
        <v/>
      </c>
      <c r="D38" s="23">
        <f>D37-D36</f>
        <v/>
      </c>
      <c r="E38" s="23">
        <f>E37-E36</f>
        <v/>
      </c>
      <c r="F38" s="23">
        <f>F37-F36</f>
        <v/>
      </c>
      <c r="G38" s="23">
        <f>G37-G36</f>
        <v/>
      </c>
      <c r="H38" s="23">
        <f>H37-H36</f>
        <v/>
      </c>
      <c r="I38" s="23">
        <f>I37-I36</f>
        <v/>
      </c>
      <c r="J38" s="23">
        <f>J37-J36</f>
        <v/>
      </c>
      <c r="K38" s="23">
        <f>K37-K36</f>
        <v/>
      </c>
      <c r="L38" s="23">
        <f>L37-L36</f>
        <v/>
      </c>
      <c r="M38" s="23">
        <f>M37-M36</f>
        <v/>
      </c>
      <c r="N38" s="23">
        <f>N37-N36</f>
        <v/>
      </c>
      <c r="O38" s="23">
        <f>O37-O36</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2F6B4F"/>
    <outlinePr summaryBelow="1" summaryRight="1"/>
    <pageSetUpPr/>
  </sheetPr>
  <dimension ref="B2:H15"/>
  <sheetViews>
    <sheetView showGridLines="0" workbookViewId="0">
      <selection activeCell="A1" sqref="A1"/>
    </sheetView>
  </sheetViews>
  <sheetFormatPr baseColWidth="8" defaultRowHeight="15"/>
  <cols>
    <col width="3" customWidth="1" min="1" max="1"/>
    <col width="22" customWidth="1" min="2" max="2"/>
    <col width="14" customWidth="1" min="3" max="3"/>
    <col width="10" customWidth="1" min="4" max="4"/>
    <col width="14" customWidth="1" min="5" max="5"/>
    <col width="14" customWidth="1" min="6" max="6"/>
    <col width="14" customWidth="1" min="7" max="7"/>
    <col width="14" customWidth="1" min="8" max="8"/>
  </cols>
  <sheetData>
    <row r="2" ht="30" customHeight="1">
      <c r="B2" s="1" t="inlineStr">
        <is>
          <t>Debt Payoff Tracker</t>
        </is>
      </c>
    </row>
    <row r="3">
      <c r="B3" s="2" t="inlineStr">
        <is>
          <t>Snowball: smallest balance first</t>
        </is>
      </c>
    </row>
    <row r="5" ht="22" customHeight="1">
      <c r="B5" s="6" t="inlineStr">
        <is>
          <t>Debt</t>
        </is>
      </c>
      <c r="C5" s="6" t="inlineStr">
        <is>
          <t>Starting balance</t>
        </is>
      </c>
      <c r="D5" s="6" t="inlineStr">
        <is>
          <t>APR</t>
        </is>
      </c>
      <c r="E5" s="6" t="inlineStr">
        <is>
          <t>Min payment</t>
        </is>
      </c>
      <c r="F5" s="6" t="inlineStr">
        <is>
          <t>Paid so far</t>
        </is>
      </c>
      <c r="G5" s="6" t="inlineStr">
        <is>
          <t>Remaining</t>
        </is>
      </c>
      <c r="H5" s="6" t="inlineStr">
        <is>
          <t>Progress</t>
        </is>
      </c>
    </row>
    <row r="6">
      <c r="B6" s="7" t="inlineStr">
        <is>
          <t>Credit Card</t>
        </is>
      </c>
      <c r="C6" s="8" t="n">
        <v>4200</v>
      </c>
      <c r="D6" s="24" t="n">
        <v>0.229</v>
      </c>
      <c r="E6" s="8" t="n">
        <v>120</v>
      </c>
      <c r="F6" s="8" t="n">
        <v>1800</v>
      </c>
      <c r="G6" s="25">
        <f>IF(C6="","",C6-F6)</f>
        <v/>
      </c>
      <c r="H6" s="26">
        <f>IF(C6="","",F6/C6)</f>
        <v/>
      </c>
    </row>
    <row r="7">
      <c r="B7" s="7" t="inlineStr">
        <is>
          <t>Car Loan</t>
        </is>
      </c>
      <c r="C7" s="8" t="n">
        <v>11400</v>
      </c>
      <c r="D7" s="24" t="n">
        <v>0.06900000000000001</v>
      </c>
      <c r="E7" s="8" t="n">
        <v>285</v>
      </c>
      <c r="F7" s="8" t="n">
        <v>1710</v>
      </c>
      <c r="G7" s="25">
        <f>IF(C7="","",C7-F7)</f>
        <v/>
      </c>
      <c r="H7" s="26">
        <f>IF(C7="","",F7/C7)</f>
        <v/>
      </c>
    </row>
    <row r="8">
      <c r="B8" s="7" t="inlineStr">
        <is>
          <t>Student Loan</t>
        </is>
      </c>
      <c r="C8" s="8" t="n">
        <v>8600</v>
      </c>
      <c r="D8" s="24" t="n">
        <v>0.045</v>
      </c>
      <c r="E8" s="8" t="n">
        <v>110</v>
      </c>
      <c r="F8" s="8" t="n">
        <v>660</v>
      </c>
      <c r="G8" s="25">
        <f>IF(C8="","",C8-F8)</f>
        <v/>
      </c>
      <c r="H8" s="26">
        <f>IF(C8="","",F8/C8)</f>
        <v/>
      </c>
    </row>
    <row r="9">
      <c r="B9" s="7" t="n"/>
      <c r="C9" s="8" t="n"/>
      <c r="D9" s="24" t="n"/>
      <c r="E9" s="8" t="n"/>
      <c r="F9" s="8" t="n"/>
      <c r="G9" s="25">
        <f>IF(C9="","",C9-F9)</f>
        <v/>
      </c>
      <c r="H9" s="26">
        <f>IF(C9="","",F9/C9)</f>
        <v/>
      </c>
    </row>
    <row r="10">
      <c r="B10" s="7" t="n"/>
      <c r="C10" s="8" t="n"/>
      <c r="D10" s="24" t="n"/>
      <c r="E10" s="8" t="n"/>
      <c r="F10" s="8" t="n"/>
      <c r="G10" s="25">
        <f>IF(C10="","",C10-F10)</f>
        <v/>
      </c>
      <c r="H10" s="26">
        <f>IF(C10="","",F10/C10)</f>
        <v/>
      </c>
    </row>
    <row r="11">
      <c r="B11" s="7" t="n"/>
      <c r="C11" s="8" t="n"/>
      <c r="D11" s="24" t="n"/>
      <c r="E11" s="8" t="n"/>
      <c r="F11" s="8" t="n"/>
      <c r="G11" s="25">
        <f>IF(C11="","",C11-F11)</f>
        <v/>
      </c>
      <c r="H11" s="26">
        <f>IF(C11="","",F11/C11)</f>
        <v/>
      </c>
    </row>
    <row r="12">
      <c r="B12" s="7" t="n"/>
      <c r="C12" s="8" t="n"/>
      <c r="D12" s="24" t="n"/>
      <c r="E12" s="8" t="n"/>
      <c r="F12" s="8" t="n"/>
      <c r="G12" s="25">
        <f>IF(C12="","",C12-F12)</f>
        <v/>
      </c>
      <c r="H12" s="26">
        <f>IF(C12="","",F12/C12)</f>
        <v/>
      </c>
    </row>
    <row r="13">
      <c r="B13" s="7" t="n"/>
      <c r="C13" s="8" t="n"/>
      <c r="D13" s="24" t="n"/>
      <c r="E13" s="8" t="n"/>
      <c r="F13" s="8" t="n"/>
      <c r="G13" s="25">
        <f>IF(C13="","",C13-F13)</f>
        <v/>
      </c>
      <c r="H13" s="26">
        <f>IF(C13="","",F13/C13)</f>
        <v/>
      </c>
    </row>
    <row r="15">
      <c r="B15" s="9" t="inlineStr">
        <is>
          <t>Total</t>
        </is>
      </c>
      <c r="C15" s="10">
        <f>SUM(C6:C13)</f>
        <v/>
      </c>
      <c r="F15" s="10">
        <f>SUM(F6:F13)</f>
        <v/>
      </c>
      <c r="G15" s="10">
        <f>SUM(G6:G13)</f>
        <v/>
      </c>
      <c r="H15" s="27">
        <f>IFERROR(F15/C15,0)</f>
        <v/>
      </c>
    </row>
  </sheetData>
  <conditionalFormatting sqref="H6:H13">
    <cfRule type="dataBar" priority="1">
      <dataBar>
        <cfvo type="num" val="0"/>
        <cfvo type="num" val="1"/>
        <color rgb="006FAF8B"/>
      </dataBar>
    </cfRule>
  </conditionalFormatting>
  <pageMargins left="0.75" right="0.75" top="1" bottom="1" header="0.5" footer="0.5"/>
</worksheet>
</file>

<file path=xl/worksheets/sheet7.xml><?xml version="1.0" encoding="utf-8"?>
<worksheet xmlns="http://schemas.openxmlformats.org/spreadsheetml/2006/main">
  <sheetPr>
    <tabColor rgb="002F6B4F"/>
    <outlinePr summaryBelow="1" summaryRight="1"/>
    <pageSetUpPr/>
  </sheetPr>
  <dimension ref="B2:G13"/>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2" customWidth="1" min="6" max="6"/>
    <col width="14" customWidth="1" min="7" max="7"/>
  </cols>
  <sheetData>
    <row r="2" ht="30" customHeight="1">
      <c r="B2" s="1" t="inlineStr">
        <is>
          <t>Savings Goals</t>
        </is>
      </c>
    </row>
    <row r="3">
      <c r="B3" s="2" t="inlineStr">
        <is>
          <t>Watch every goal fill up</t>
        </is>
      </c>
    </row>
    <row r="5" ht="22" customHeight="1">
      <c r="B5" s="6" t="inlineStr">
        <is>
          <t>Goal</t>
        </is>
      </c>
      <c r="C5" s="6" t="inlineStr">
        <is>
          <t>Target</t>
        </is>
      </c>
      <c r="D5" s="6" t="inlineStr">
        <is>
          <t>Saved</t>
        </is>
      </c>
      <c r="E5" s="6" t="inlineStr">
        <is>
          <t>Still needed</t>
        </is>
      </c>
      <c r="F5" s="6" t="inlineStr">
        <is>
          <t>Progress</t>
        </is>
      </c>
      <c r="G5" s="6" t="inlineStr">
        <is>
          <t>Target date</t>
        </is>
      </c>
    </row>
    <row r="6">
      <c r="B6" s="7" t="inlineStr">
        <is>
          <t>Emergency Fund</t>
        </is>
      </c>
      <c r="C6" s="8" t="n">
        <v>10000</v>
      </c>
      <c r="D6" s="8" t="n">
        <v>6400</v>
      </c>
      <c r="E6" s="25">
        <f>IF(C6="","",MAX(0,C6-D6))</f>
        <v/>
      </c>
      <c r="F6" s="26">
        <f>IF(C6="","",MIN(1,D6/C6))</f>
        <v/>
      </c>
      <c r="G6" s="7" t="inlineStr">
        <is>
          <t>Dec 2027</t>
        </is>
      </c>
    </row>
    <row r="7">
      <c r="B7" s="7" t="inlineStr">
        <is>
          <t>Vacation</t>
        </is>
      </c>
      <c r="C7" s="8" t="n">
        <v>3000</v>
      </c>
      <c r="D7" s="8" t="n">
        <v>1200</v>
      </c>
      <c r="E7" s="25">
        <f>IF(C7="","",MAX(0,C7-D7))</f>
        <v/>
      </c>
      <c r="F7" s="26">
        <f>IF(C7="","",MIN(1,D7/C7))</f>
        <v/>
      </c>
      <c r="G7" s="7" t="inlineStr">
        <is>
          <t>Jul 2027</t>
        </is>
      </c>
    </row>
    <row r="8">
      <c r="B8" s="7" t="inlineStr">
        <is>
          <t>New Laptop</t>
        </is>
      </c>
      <c r="C8" s="8" t="n">
        <v>1500</v>
      </c>
      <c r="D8" s="8" t="n">
        <v>950</v>
      </c>
      <c r="E8" s="25">
        <f>IF(C8="","",MAX(0,C8-D8))</f>
        <v/>
      </c>
      <c r="F8" s="26">
        <f>IF(C8="","",MIN(1,D8/C8))</f>
        <v/>
      </c>
      <c r="G8" s="7" t="inlineStr">
        <is>
          <t>Sep 2027</t>
        </is>
      </c>
    </row>
    <row r="9">
      <c r="B9" s="7" t="inlineStr">
        <is>
          <t>Holiday Gifts</t>
        </is>
      </c>
      <c r="C9" s="8" t="n">
        <v>800</v>
      </c>
      <c r="D9" s="8" t="n">
        <v>240</v>
      </c>
      <c r="E9" s="25">
        <f>IF(C9="","",MAX(0,C9-D9))</f>
        <v/>
      </c>
      <c r="F9" s="26">
        <f>IF(C9="","",MIN(1,D9/C9))</f>
        <v/>
      </c>
      <c r="G9" s="7" t="inlineStr">
        <is>
          <t>Nov 2027</t>
        </is>
      </c>
    </row>
    <row r="10">
      <c r="B10" s="7" t="n"/>
      <c r="C10" s="8" t="n"/>
      <c r="D10" s="8" t="n"/>
      <c r="E10" s="25">
        <f>IF(C10="","",MAX(0,C10-D10))</f>
        <v/>
      </c>
      <c r="F10" s="26">
        <f>IF(C10="","",MIN(1,D10/C10))</f>
        <v/>
      </c>
      <c r="G10" s="7" t="n"/>
    </row>
    <row r="11">
      <c r="B11" s="7" t="n"/>
      <c r="C11" s="8" t="n"/>
      <c r="D11" s="8" t="n"/>
      <c r="E11" s="25">
        <f>IF(C11="","",MAX(0,C11-D11))</f>
        <v/>
      </c>
      <c r="F11" s="26">
        <f>IF(C11="","",MIN(1,D11/C11))</f>
        <v/>
      </c>
      <c r="G11" s="7" t="n"/>
    </row>
    <row r="12">
      <c r="B12" s="7" t="n"/>
      <c r="C12" s="8" t="n"/>
      <c r="D12" s="8" t="n"/>
      <c r="E12" s="25">
        <f>IF(C12="","",MAX(0,C12-D12))</f>
        <v/>
      </c>
      <c r="F12" s="26">
        <f>IF(C12="","",MIN(1,D12/C12))</f>
        <v/>
      </c>
      <c r="G12" s="7" t="n"/>
    </row>
    <row r="13">
      <c r="B13" s="7" t="n"/>
      <c r="C13" s="8" t="n"/>
      <c r="D13" s="8" t="n"/>
      <c r="E13" s="25">
        <f>IF(C13="","",MAX(0,C13-D13))</f>
        <v/>
      </c>
      <c r="F13" s="26">
        <f>IF(C13="","",MIN(1,D13/C13))</f>
        <v/>
      </c>
      <c r="G13" s="7" t="n"/>
    </row>
  </sheetData>
  <conditionalFormatting sqref="F6:F13">
    <cfRule type="dataBar" priority="1">
      <dataBar>
        <cfvo type="num" val="0"/>
        <cfvo type="num" val="1"/>
        <color rgb="006FAF8B"/>
      </dataBar>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2026-10-11T17:03:54Z</dcterms:created>
  <dcterms:modified xmlns:dcterms="http://purl.org/dc/terms/" xmlns:xsi="http://www.w3.org/2001/XMLSchema-instance" xsi:type="dcterms:W3CDTF">2026-10-11T17:03:55Z</dcterms:modified>
</cp:coreProperties>
</file>